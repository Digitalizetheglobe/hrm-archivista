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Salary\salary 20.09.10\AEPPL Pune\1. AEPPL Pune Salary 26-27\June 2026\"/>
    </mc:Choice>
  </mc:AlternateContent>
  <bookViews>
    <workbookView xWindow="0" yWindow="0" windowWidth="19200" windowHeight="11595"/>
  </bookViews>
  <sheets>
    <sheet name="Earn&amp;Dedn" sheetId="1" r:id="rId1"/>
  </sheets>
  <definedNames>
    <definedName name="_xlnm.Print_Titles" localSheetId="0">'Earn&amp;Dedn'!$1:$4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32" i="1" l="1"/>
  <c r="AQ29" i="1" l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8" i="1"/>
  <c r="AL9" i="1"/>
  <c r="AL10" i="1"/>
  <c r="AL11" i="1"/>
  <c r="AT11" i="1" s="1"/>
  <c r="AL12" i="1"/>
  <c r="AL13" i="1"/>
  <c r="AL14" i="1"/>
  <c r="AL15" i="1"/>
  <c r="AT15" i="1" s="1"/>
  <c r="AL16" i="1"/>
  <c r="AL17" i="1"/>
  <c r="AL18" i="1"/>
  <c r="AL19" i="1"/>
  <c r="AT19" i="1" s="1"/>
  <c r="AL20" i="1"/>
  <c r="AL21" i="1"/>
  <c r="AL22" i="1"/>
  <c r="AL23" i="1"/>
  <c r="AT23" i="1" s="1"/>
  <c r="AL24" i="1"/>
  <c r="AL25" i="1"/>
  <c r="AL26" i="1"/>
  <c r="AL27" i="1"/>
  <c r="AT27" i="1" s="1"/>
  <c r="AL28" i="1"/>
  <c r="AL8" i="1"/>
  <c r="AK29" i="1"/>
  <c r="AT28" i="1" l="1"/>
  <c r="AT24" i="1"/>
  <c r="AT20" i="1"/>
  <c r="AT16" i="1"/>
  <c r="AT12" i="1"/>
  <c r="AT26" i="1"/>
  <c r="AT22" i="1"/>
  <c r="AT18" i="1"/>
  <c r="AT14" i="1"/>
  <c r="AT10" i="1"/>
  <c r="AT8" i="1"/>
  <c r="AT25" i="1"/>
  <c r="AT21" i="1"/>
  <c r="AT17" i="1"/>
  <c r="AT13" i="1"/>
  <c r="AT9" i="1"/>
  <c r="AL29" i="1"/>
  <c r="AV29" i="1"/>
  <c r="AU29" i="1"/>
  <c r="AS29" i="1"/>
  <c r="AR29" i="1"/>
  <c r="AP29" i="1"/>
  <c r="AO29" i="1"/>
  <c r="AN29" i="1"/>
  <c r="AM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AT29" i="1" l="1"/>
</calcChain>
</file>

<file path=xl/sharedStrings.xml><?xml version="1.0" encoding="utf-8"?>
<sst xmlns="http://schemas.openxmlformats.org/spreadsheetml/2006/main" count="270" uniqueCount="135">
  <si>
    <t>SRNO</t>
  </si>
  <si>
    <t>EMPCODE</t>
  </si>
  <si>
    <t>EMPNAME</t>
  </si>
  <si>
    <t>DEPT</t>
  </si>
  <si>
    <t>COST_CENT</t>
  </si>
  <si>
    <t>AGE</t>
  </si>
  <si>
    <t>SEX</t>
  </si>
  <si>
    <t>DOJ</t>
  </si>
  <si>
    <t>MIN_WAGE_R</t>
  </si>
  <si>
    <t>PROD_PC_RT</t>
  </si>
  <si>
    <t>BASIC_RT</t>
  </si>
  <si>
    <t>MEDICAL_RT</t>
  </si>
  <si>
    <t>HRA_RT</t>
  </si>
  <si>
    <t>CONNVEYANC</t>
  </si>
  <si>
    <t>EDUCATION_</t>
  </si>
  <si>
    <t>EXECUTIVE_</t>
  </si>
  <si>
    <t>LEAVE_ENCA</t>
  </si>
  <si>
    <t>SITE EXPE</t>
  </si>
  <si>
    <t>SPL ALLOW</t>
  </si>
  <si>
    <t>PR_DAYS</t>
  </si>
  <si>
    <t>WEEKLY_OFF</t>
  </si>
  <si>
    <t>PH</t>
  </si>
  <si>
    <t>LWP</t>
  </si>
  <si>
    <t>LEAVE</t>
  </si>
  <si>
    <t>PL</t>
  </si>
  <si>
    <t>PAID_DAYS</t>
  </si>
  <si>
    <t>OT_HRS</t>
  </si>
  <si>
    <t>BASIC</t>
  </si>
  <si>
    <t>MEDICAL</t>
  </si>
  <si>
    <t>HRA</t>
  </si>
  <si>
    <t>CONNVEYAN2</t>
  </si>
  <si>
    <t>EDUCATION</t>
  </si>
  <si>
    <t>EXECUTIVE</t>
  </si>
  <si>
    <t>LEAVE_ENC2</t>
  </si>
  <si>
    <t>SITE EXP2</t>
  </si>
  <si>
    <t>SPL ALLO2</t>
  </si>
  <si>
    <t>GROSS</t>
  </si>
  <si>
    <t>PF</t>
  </si>
  <si>
    <t>PT</t>
  </si>
  <si>
    <t>MLWF</t>
  </si>
  <si>
    <t>ADVANCE</t>
  </si>
  <si>
    <t>TDS</t>
  </si>
  <si>
    <t>TELEPHONE</t>
  </si>
  <si>
    <t>DEDUCTION</t>
  </si>
  <si>
    <t>NET</t>
  </si>
  <si>
    <t>PMT_DT</t>
  </si>
  <si>
    <t>SIGNATURE</t>
  </si>
  <si>
    <t>00013</t>
  </si>
  <si>
    <t xml:space="preserve">RAMESH GORE                             </t>
  </si>
  <si>
    <t xml:space="preserve">DESIGN         </t>
  </si>
  <si>
    <t xml:space="preserve">               </t>
  </si>
  <si>
    <t xml:space="preserve">   </t>
  </si>
  <si>
    <t>M</t>
  </si>
  <si>
    <t xml:space="preserve">  </t>
  </si>
  <si>
    <t xml:space="preserve">                  1</t>
  </si>
  <si>
    <t>00018</t>
  </si>
  <si>
    <t xml:space="preserve">RAMBHAU PACHLEGAONKAR                   </t>
  </si>
  <si>
    <t xml:space="preserve">ADMIN          </t>
  </si>
  <si>
    <t xml:space="preserve">                  2</t>
  </si>
  <si>
    <t>00024</t>
  </si>
  <si>
    <t xml:space="preserve">RAHUL BAHIRAT                           </t>
  </si>
  <si>
    <t xml:space="preserve">                  3</t>
  </si>
  <si>
    <t>00115</t>
  </si>
  <si>
    <t xml:space="preserve">VIJAY MOTE                              </t>
  </si>
  <si>
    <t xml:space="preserve">DE COORD       </t>
  </si>
  <si>
    <t xml:space="preserve">                  4</t>
  </si>
  <si>
    <t>00217</t>
  </si>
  <si>
    <t xml:space="preserve">SANJAY JADHAV                           </t>
  </si>
  <si>
    <t xml:space="preserve">                  5</t>
  </si>
  <si>
    <t>00292</t>
  </si>
  <si>
    <t xml:space="preserve">RAKESH SONAWANE                         </t>
  </si>
  <si>
    <t>21/05/2015</t>
  </si>
  <si>
    <t xml:space="preserve">                  6</t>
  </si>
  <si>
    <t>00297</t>
  </si>
  <si>
    <t xml:space="preserve">SANTOSH KULKARNI                        </t>
  </si>
  <si>
    <t xml:space="preserve">MARKETING      </t>
  </si>
  <si>
    <t>25/04/2016</t>
  </si>
  <si>
    <t xml:space="preserve">                  7</t>
  </si>
  <si>
    <t>00300</t>
  </si>
  <si>
    <t xml:space="preserve">PRAKASH KHILARE                         </t>
  </si>
  <si>
    <t xml:space="preserve">ELECTRICAL     </t>
  </si>
  <si>
    <t xml:space="preserve">                  8</t>
  </si>
  <si>
    <t>00302</t>
  </si>
  <si>
    <t xml:space="preserve">RAKESH KUMAR                            </t>
  </si>
  <si>
    <t xml:space="preserve">STRUCTURAL     </t>
  </si>
  <si>
    <t xml:space="preserve">                  9</t>
  </si>
  <si>
    <t>00312</t>
  </si>
  <si>
    <t xml:space="preserve">ASHWINI SANJEEV HUNAGUND                </t>
  </si>
  <si>
    <t>F</t>
  </si>
  <si>
    <t xml:space="preserve">                 10</t>
  </si>
  <si>
    <t>00329</t>
  </si>
  <si>
    <t xml:space="preserve">RAGHAVENDRA KULKARNI                    </t>
  </si>
  <si>
    <t xml:space="preserve">                 11</t>
  </si>
  <si>
    <t>00335</t>
  </si>
  <si>
    <t xml:space="preserve">ARVIND KULKARNI                         </t>
  </si>
  <si>
    <t xml:space="preserve">                 12</t>
  </si>
  <si>
    <t>00336</t>
  </si>
  <si>
    <t xml:space="preserve">GAURAV GATANE                           </t>
  </si>
  <si>
    <t xml:space="preserve">                 13</t>
  </si>
  <si>
    <t>00339</t>
  </si>
  <si>
    <t xml:space="preserve">RAJASHREE PATTAR                        </t>
  </si>
  <si>
    <t xml:space="preserve">ACCOUNTS       </t>
  </si>
  <si>
    <t xml:space="preserve">                 14</t>
  </si>
  <si>
    <t>00343</t>
  </si>
  <si>
    <t xml:space="preserve">PRASHANT KHURAPE                        </t>
  </si>
  <si>
    <t xml:space="preserve">  /  /    </t>
  </si>
  <si>
    <t xml:space="preserve">                 15</t>
  </si>
  <si>
    <t>00345</t>
  </si>
  <si>
    <t xml:space="preserve">RAMCHANDRA PAWAR                        </t>
  </si>
  <si>
    <t xml:space="preserve">                 16</t>
  </si>
  <si>
    <t>00346</t>
  </si>
  <si>
    <t xml:space="preserve">VIMAL THAKARANI                         </t>
  </si>
  <si>
    <t xml:space="preserve">                 17</t>
  </si>
  <si>
    <t>00350</t>
  </si>
  <si>
    <t xml:space="preserve">MANOJ BHAGWAT                           </t>
  </si>
  <si>
    <t>20/01/2025</t>
  </si>
  <si>
    <t xml:space="preserve">                 18</t>
  </si>
  <si>
    <t>00351</t>
  </si>
  <si>
    <t xml:space="preserve">KRUSHNAI VIDHATE                        </t>
  </si>
  <si>
    <t xml:space="preserve">                 19</t>
  </si>
  <si>
    <t>00352</t>
  </si>
  <si>
    <t xml:space="preserve">POONAM MORE                             </t>
  </si>
  <si>
    <t xml:space="preserve">                 20</t>
  </si>
  <si>
    <t>00354</t>
  </si>
  <si>
    <t xml:space="preserve">MAHESHKUMAR KESHAV MALI                 </t>
  </si>
  <si>
    <t xml:space="preserve">                 22</t>
  </si>
  <si>
    <t>Totals</t>
  </si>
  <si>
    <t>WAGES REGISTER  FOR THE MONTH OF June 2026</t>
  </si>
  <si>
    <t>FORM II M.W. RULES 1963 RULE 27</t>
  </si>
  <si>
    <t>Archivista Engineerng Projects Pvt. Ltd.</t>
  </si>
  <si>
    <t>201 &amp; 202,  Sai Empire,</t>
  </si>
  <si>
    <t>Near Kapil Malhar, Baner</t>
  </si>
  <si>
    <t xml:space="preserve">Name of the Establishment : AEPPL - Pune             </t>
  </si>
  <si>
    <t>Arrears</t>
  </si>
  <si>
    <t>PRASHANT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</si>
</sst>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quotePrefix="1" applyBorder="1"/>
    <xf numFmtId="14" fontId="0" fillId="0" borderId="1" xfId="0" applyNumberFormat="1" applyBorder="1"/>
    <xf numFmtId="2" fontId="0" fillId="0" borderId="1" xfId="0" applyNumberFormat="1" applyBorder="1"/>
    <xf numFmtId="2" fontId="1" fillId="0" borderId="1" xfId="0" applyNumberFormat="1" applyFont="1" applyBorder="1"/>
    <xf numFmtId="2" fontId="0" fillId="0" borderId="1" xfId="0" quotePrefix="1" applyNumberFormat="1" applyBorder="1"/>
    <xf numFmtId="0" fontId="0" fillId="0" borderId="0" xfId="0" applyAlignment="1">
      <alignment horizontal="left"/>
    </xf>
    <xf numFmtId="0" fontId="1" fillId="2" borderId="2" xfId="0" applyFont="1" applyFill="1" applyBorder="1"/>
    <xf numFmtId="2" fontId="0" fillId="0" borderId="2" xfId="0" applyNumberFormat="1" applyBorder="1"/>
    <xf numFmtId="2" fontId="1" fillId="0" borderId="2" xfId="0" applyNumberFormat="1" applyFont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3" fillId="0" borderId="0" xfId="0" applyFont="1" applyBorder="1"/>
    <xf numFmtId="0" fontId="4" fillId="0" borderId="0" xfId="0" applyFont="1" applyBorder="1"/>
    <xf numFmtId="0" fontId="0" fillId="0" borderId="3" xfId="0" applyBorder="1"/>
    <xf numFmtId="0" fontId="0" fillId="0" borderId="4" xfId="0" applyBorder="1"/>
    <xf numFmtId="0" fontId="2" fillId="0" borderId="4" xfId="0" applyFont="1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2" fontId="0" fillId="0" borderId="0" xfId="0" applyNumberFormat="1" applyFill="1" applyBorder="1"/>
    <xf numFmtId="2" fontId="1" fillId="0" borderId="0" xfId="0" applyNumberFormat="1" applyFont="1"/>
    <xf numFmtId="0" fontId="1" fillId="2" borderId="8" xfId="0" applyFont="1" applyFill="1" applyBorder="1"/>
    <xf numFmtId="0" fontId="1" fillId="2" borderId="9" xfId="0" applyFont="1" applyFill="1" applyBorder="1"/>
    <xf numFmtId="2" fontId="0" fillId="0" borderId="9" xfId="0" applyNumberFormat="1" applyBorder="1"/>
    <xf numFmtId="0" fontId="0" fillId="0" borderId="10" xfId="0" applyBorder="1"/>
    <xf numFmtId="0" fontId="0" fillId="0" borderId="11" xfId="0" applyBorder="1"/>
    <xf numFmtId="0" fontId="1" fillId="0" borderId="11" xfId="0" applyFont="1" applyBorder="1"/>
    <xf numFmtId="0" fontId="0" fillId="0" borderId="11" xfId="0" applyBorder="1" applyAlignment="1">
      <alignment horizontal="left"/>
    </xf>
    <xf numFmtId="2" fontId="1" fillId="0" borderId="11" xfId="0" applyNumberFormat="1" applyFont="1" applyBorder="1"/>
    <xf numFmtId="2" fontId="1" fillId="0" borderId="12" xfId="0" applyNumberFormat="1" applyFont="1" applyBorder="1"/>
    <xf numFmtId="0" fontId="1" fillId="2" borderId="1" xfId="0" applyFont="1" applyFill="1" applyBorder="1" applyAlignment="1">
      <alignment wrapText="1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V32"/>
  <sheetViews>
    <sheetView showGridLines="0" showZeros="0" tabSelected="1" workbookViewId="0"/>
  </sheetViews>
  <sheetFormatPr defaultRowHeight="15" x14ac:dyDescent="0.25"/>
  <cols>
    <col min="1" max="1" width="6" bestFit="1" customWidth="1"/>
    <col min="2" max="2" width="9.85546875" bestFit="1" customWidth="1"/>
    <col min="3" max="3" width="29.85546875" customWidth="1"/>
    <col min="4" max="4" width="14.42578125" style="8" hidden="1" customWidth="1"/>
    <col min="5" max="5" width="11.140625" hidden="1" customWidth="1"/>
    <col min="6" max="6" width="4.7109375" hidden="1" customWidth="1"/>
    <col min="7" max="7" width="4.140625" hidden="1" customWidth="1"/>
    <col min="8" max="8" width="10.7109375" hidden="1" customWidth="1"/>
    <col min="9" max="9" width="13.85546875" hidden="1" customWidth="1"/>
    <col min="10" max="10" width="12.42578125" hidden="1" customWidth="1"/>
    <col min="11" max="11" width="9.28515625" hidden="1" customWidth="1"/>
    <col min="12" max="12" width="12.140625" hidden="1" customWidth="1"/>
    <col min="13" max="13" width="7.85546875" hidden="1" customWidth="1"/>
    <col min="14" max="14" width="13.85546875" hidden="1" customWidth="1"/>
    <col min="15" max="15" width="12.5703125" hidden="1" customWidth="1"/>
    <col min="16" max="16" width="11.5703125" hidden="1" customWidth="1"/>
    <col min="17" max="17" width="12.28515625" hidden="1" customWidth="1"/>
    <col min="18" max="18" width="9.28515625" hidden="1" customWidth="1"/>
    <col min="19" max="19" width="10.85546875" hidden="1" customWidth="1"/>
    <col min="20" max="20" width="9" hidden="1" customWidth="1"/>
    <col min="21" max="21" width="12.5703125" hidden="1" customWidth="1"/>
    <col min="22" max="22" width="3.42578125" hidden="1" customWidth="1"/>
    <col min="23" max="23" width="5" hidden="1" customWidth="1"/>
    <col min="24" max="24" width="6.42578125" hidden="1" customWidth="1"/>
    <col min="25" max="25" width="4.5703125" hidden="1" customWidth="1"/>
    <col min="26" max="26" width="7.140625" customWidth="1"/>
    <col min="27" max="27" width="7.85546875" hidden="1" customWidth="1"/>
    <col min="28" max="28" width="9.5703125" bestFit="1" customWidth="1"/>
    <col min="29" max="29" width="9" bestFit="1" customWidth="1"/>
    <col min="30" max="30" width="9.5703125" bestFit="1" customWidth="1"/>
    <col min="31" max="31" width="14" customWidth="1"/>
    <col min="32" max="32" width="11.5703125" bestFit="1" customWidth="1"/>
    <col min="33" max="33" width="10.5703125" bestFit="1" customWidth="1"/>
    <col min="34" max="34" width="12" hidden="1" customWidth="1"/>
    <col min="35" max="35" width="9.28515625" hidden="1" customWidth="1"/>
    <col min="36" max="36" width="9.85546875" bestFit="1" customWidth="1"/>
    <col min="37" max="37" width="9.85546875" customWidth="1"/>
    <col min="38" max="38" width="10.5703125" bestFit="1" customWidth="1"/>
    <col min="39" max="39" width="8.5703125" bestFit="1" customWidth="1"/>
    <col min="40" max="40" width="7.5703125" bestFit="1" customWidth="1"/>
    <col min="41" max="41" width="6.7109375" hidden="1" customWidth="1"/>
    <col min="42" max="42" width="9.7109375" bestFit="1" customWidth="1"/>
    <col min="43" max="43" width="8.5703125" bestFit="1" customWidth="1"/>
    <col min="44" max="44" width="11.140625" hidden="1" customWidth="1"/>
    <col min="45" max="45" width="11.5703125" bestFit="1" customWidth="1"/>
    <col min="46" max="46" width="10.5703125" bestFit="1" customWidth="1"/>
    <col min="47" max="47" width="8.28515625" hidden="1" customWidth="1"/>
    <col min="48" max="48" width="11.28515625" hidden="1" customWidth="1"/>
  </cols>
  <sheetData>
    <row r="1" spans="1:48" ht="18.75" x14ac:dyDescent="0.3">
      <c r="A1" s="16"/>
      <c r="B1" s="17"/>
      <c r="C1" s="18" t="s">
        <v>127</v>
      </c>
      <c r="D1" s="19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20"/>
    </row>
    <row r="2" spans="1:48" x14ac:dyDescent="0.25">
      <c r="A2" s="21"/>
      <c r="B2" s="12"/>
      <c r="C2" s="12" t="s">
        <v>128</v>
      </c>
      <c r="D2" s="13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22"/>
    </row>
    <row r="3" spans="1:48" ht="15.75" x14ac:dyDescent="0.25">
      <c r="A3" s="21"/>
      <c r="B3" s="12"/>
      <c r="C3" s="14" t="s">
        <v>129</v>
      </c>
      <c r="D3" s="13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22"/>
    </row>
    <row r="4" spans="1:48" x14ac:dyDescent="0.25">
      <c r="A4" s="21"/>
      <c r="B4" s="12"/>
      <c r="C4" s="12" t="s">
        <v>130</v>
      </c>
      <c r="D4" s="13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22"/>
    </row>
    <row r="5" spans="1:48" x14ac:dyDescent="0.25">
      <c r="A5" s="21"/>
      <c r="B5" s="12"/>
      <c r="C5" s="12" t="s">
        <v>131</v>
      </c>
      <c r="D5" s="13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22"/>
    </row>
    <row r="6" spans="1:48" x14ac:dyDescent="0.25">
      <c r="A6" s="21"/>
      <c r="B6" s="12"/>
      <c r="C6" s="15" t="s">
        <v>132</v>
      </c>
      <c r="D6" s="13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22"/>
    </row>
    <row r="7" spans="1:48" ht="30" x14ac:dyDescent="0.25">
      <c r="A7" s="27" t="s">
        <v>0</v>
      </c>
      <c r="B7" s="1" t="s">
        <v>1</v>
      </c>
      <c r="C7" s="1" t="s">
        <v>2</v>
      </c>
      <c r="D7" s="24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  <c r="S7" s="1" t="s">
        <v>18</v>
      </c>
      <c r="T7" s="1" t="s">
        <v>19</v>
      </c>
      <c r="U7" s="1" t="s">
        <v>20</v>
      </c>
      <c r="V7" s="1" t="s">
        <v>21</v>
      </c>
      <c r="W7" s="1" t="s">
        <v>22</v>
      </c>
      <c r="X7" s="1" t="s">
        <v>23</v>
      </c>
      <c r="Y7" s="1" t="s">
        <v>24</v>
      </c>
      <c r="Z7" s="36" t="s">
        <v>25</v>
      </c>
      <c r="AA7" s="1" t="s">
        <v>26</v>
      </c>
      <c r="AB7" s="1" t="s">
        <v>27</v>
      </c>
      <c r="AC7" s="1" t="s">
        <v>28</v>
      </c>
      <c r="AD7" s="1" t="s">
        <v>29</v>
      </c>
      <c r="AE7" s="36" t="s">
        <v>30</v>
      </c>
      <c r="AF7" s="1" t="s">
        <v>31</v>
      </c>
      <c r="AG7" s="1" t="s">
        <v>32</v>
      </c>
      <c r="AH7" s="1" t="s">
        <v>33</v>
      </c>
      <c r="AI7" s="1" t="s">
        <v>34</v>
      </c>
      <c r="AJ7" s="1" t="s">
        <v>35</v>
      </c>
      <c r="AK7" s="1" t="s">
        <v>133</v>
      </c>
      <c r="AL7" s="1" t="s">
        <v>36</v>
      </c>
      <c r="AM7" s="1" t="s">
        <v>37</v>
      </c>
      <c r="AN7" s="1" t="s">
        <v>38</v>
      </c>
      <c r="AO7" s="1" t="s">
        <v>39</v>
      </c>
      <c r="AP7" s="1" t="s">
        <v>40</v>
      </c>
      <c r="AQ7" s="1" t="s">
        <v>41</v>
      </c>
      <c r="AR7" s="1" t="s">
        <v>42</v>
      </c>
      <c r="AS7" s="1" t="s">
        <v>43</v>
      </c>
      <c r="AT7" s="28" t="s">
        <v>44</v>
      </c>
      <c r="AU7" s="9" t="s">
        <v>45</v>
      </c>
      <c r="AV7" s="1" t="s">
        <v>46</v>
      </c>
    </row>
    <row r="8" spans="1:48" ht="24" customHeight="1" x14ac:dyDescent="0.25">
      <c r="A8" s="37">
        <v>1</v>
      </c>
      <c r="B8" s="3" t="s">
        <v>47</v>
      </c>
      <c r="C8" s="2" t="s">
        <v>48</v>
      </c>
      <c r="D8" s="23" t="s">
        <v>49</v>
      </c>
      <c r="E8" s="2" t="s">
        <v>50</v>
      </c>
      <c r="F8" s="2" t="s">
        <v>51</v>
      </c>
      <c r="G8" s="2" t="s">
        <v>52</v>
      </c>
      <c r="H8" s="4">
        <v>37991</v>
      </c>
      <c r="I8" s="2" t="s">
        <v>53</v>
      </c>
      <c r="J8" s="2" t="s">
        <v>53</v>
      </c>
      <c r="K8" s="2">
        <v>50000</v>
      </c>
      <c r="L8" s="2">
        <v>3000</v>
      </c>
      <c r="M8" s="2">
        <v>32500</v>
      </c>
      <c r="N8" s="2">
        <v>22500</v>
      </c>
      <c r="O8" s="5">
        <v>7000</v>
      </c>
      <c r="P8" s="5">
        <v>27000</v>
      </c>
      <c r="Q8" s="5">
        <v>0</v>
      </c>
      <c r="R8" s="5">
        <v>0</v>
      </c>
      <c r="S8" s="5">
        <v>0</v>
      </c>
      <c r="T8" s="5">
        <v>22</v>
      </c>
      <c r="U8" s="5">
        <v>6</v>
      </c>
      <c r="V8" s="5">
        <v>0</v>
      </c>
      <c r="W8" s="5">
        <v>0</v>
      </c>
      <c r="X8" s="5">
        <v>2</v>
      </c>
      <c r="Y8" s="5">
        <v>0</v>
      </c>
      <c r="Z8" s="5">
        <v>30</v>
      </c>
      <c r="AA8" s="5">
        <v>0</v>
      </c>
      <c r="AB8" s="5">
        <v>50000</v>
      </c>
      <c r="AC8" s="5">
        <v>3000</v>
      </c>
      <c r="AD8" s="5">
        <v>32500</v>
      </c>
      <c r="AE8" s="5">
        <v>22500</v>
      </c>
      <c r="AF8" s="5">
        <v>7000</v>
      </c>
      <c r="AG8" s="5">
        <v>27000</v>
      </c>
      <c r="AH8" s="5">
        <v>0</v>
      </c>
      <c r="AI8" s="5">
        <v>0</v>
      </c>
      <c r="AJ8" s="5">
        <v>0</v>
      </c>
      <c r="AK8" s="5">
        <v>34000</v>
      </c>
      <c r="AL8" s="5">
        <f>SUM(AB8:AK8)</f>
        <v>176000</v>
      </c>
      <c r="AM8" s="5">
        <v>6000</v>
      </c>
      <c r="AN8" s="5">
        <v>200</v>
      </c>
      <c r="AO8" s="5">
        <v>0</v>
      </c>
      <c r="AP8" s="5">
        <v>0</v>
      </c>
      <c r="AQ8" s="5">
        <v>8000</v>
      </c>
      <c r="AR8" s="5">
        <v>0</v>
      </c>
      <c r="AS8" s="5">
        <f t="shared" ref="AS8:AS28" si="0">SUM(AM8:AQ8)</f>
        <v>14200</v>
      </c>
      <c r="AT8" s="29">
        <f t="shared" ref="AT8:AT28" si="1">AL8-AS8</f>
        <v>161800</v>
      </c>
      <c r="AU8" s="10" t="s">
        <v>53</v>
      </c>
      <c r="AV8" s="7" t="s">
        <v>54</v>
      </c>
    </row>
    <row r="9" spans="1:48" ht="24" customHeight="1" x14ac:dyDescent="0.25">
      <c r="A9" s="37">
        <v>2</v>
      </c>
      <c r="B9" s="3" t="s">
        <v>55</v>
      </c>
      <c r="C9" s="2" t="s">
        <v>56</v>
      </c>
      <c r="D9" s="23" t="s">
        <v>57</v>
      </c>
      <c r="E9" s="2" t="s">
        <v>50</v>
      </c>
      <c r="F9" s="2" t="s">
        <v>51</v>
      </c>
      <c r="G9" s="2" t="s">
        <v>52</v>
      </c>
      <c r="H9" s="4">
        <v>37993</v>
      </c>
      <c r="I9" s="2" t="s">
        <v>53</v>
      </c>
      <c r="J9" s="2" t="s">
        <v>53</v>
      </c>
      <c r="K9" s="2">
        <v>15540</v>
      </c>
      <c r="L9" s="2">
        <v>933</v>
      </c>
      <c r="M9" s="2">
        <v>10101</v>
      </c>
      <c r="N9" s="2">
        <v>6993</v>
      </c>
      <c r="O9" s="5">
        <v>2176</v>
      </c>
      <c r="P9" s="5">
        <v>4257</v>
      </c>
      <c r="Q9" s="5">
        <v>0</v>
      </c>
      <c r="R9" s="5">
        <v>0</v>
      </c>
      <c r="S9" s="5">
        <v>0</v>
      </c>
      <c r="T9" s="5">
        <v>22</v>
      </c>
      <c r="U9" s="5">
        <v>6</v>
      </c>
      <c r="V9" s="5">
        <v>0</v>
      </c>
      <c r="W9" s="5">
        <v>0</v>
      </c>
      <c r="X9" s="5">
        <v>2</v>
      </c>
      <c r="Y9" s="5">
        <v>0</v>
      </c>
      <c r="Z9" s="5">
        <v>30</v>
      </c>
      <c r="AA9" s="5">
        <v>0</v>
      </c>
      <c r="AB9" s="5">
        <v>15540</v>
      </c>
      <c r="AC9" s="5">
        <v>933</v>
      </c>
      <c r="AD9" s="5">
        <v>10101</v>
      </c>
      <c r="AE9" s="5">
        <v>6993</v>
      </c>
      <c r="AF9" s="5">
        <v>2176</v>
      </c>
      <c r="AG9" s="5">
        <v>4257</v>
      </c>
      <c r="AH9" s="5">
        <v>0</v>
      </c>
      <c r="AI9" s="5">
        <v>0</v>
      </c>
      <c r="AJ9" s="5">
        <v>0</v>
      </c>
      <c r="AK9" s="5">
        <v>2300</v>
      </c>
      <c r="AL9" s="5">
        <f t="shared" ref="AL9:AL28" si="2">SUM(AB9:AK9)</f>
        <v>42300</v>
      </c>
      <c r="AM9" s="5">
        <v>1865</v>
      </c>
      <c r="AN9" s="5">
        <v>200</v>
      </c>
      <c r="AO9" s="5">
        <v>0</v>
      </c>
      <c r="AP9" s="5">
        <v>3000</v>
      </c>
      <c r="AQ9" s="5">
        <v>1</v>
      </c>
      <c r="AR9" s="5">
        <v>0</v>
      </c>
      <c r="AS9" s="5">
        <f t="shared" si="0"/>
        <v>5066</v>
      </c>
      <c r="AT9" s="29">
        <f t="shared" si="1"/>
        <v>37234</v>
      </c>
      <c r="AU9" s="10" t="s">
        <v>53</v>
      </c>
      <c r="AV9" s="7" t="s">
        <v>58</v>
      </c>
    </row>
    <row r="10" spans="1:48" ht="24" customHeight="1" x14ac:dyDescent="0.25">
      <c r="A10" s="37">
        <v>3</v>
      </c>
      <c r="B10" s="3" t="s">
        <v>59</v>
      </c>
      <c r="C10" s="2" t="s">
        <v>60</v>
      </c>
      <c r="D10" s="23" t="s">
        <v>57</v>
      </c>
      <c r="E10" s="2" t="s">
        <v>50</v>
      </c>
      <c r="F10" s="2" t="s">
        <v>51</v>
      </c>
      <c r="G10" s="2" t="s">
        <v>52</v>
      </c>
      <c r="H10" s="4">
        <v>38357</v>
      </c>
      <c r="I10" s="2" t="s">
        <v>53</v>
      </c>
      <c r="J10" s="2" t="s">
        <v>53</v>
      </c>
      <c r="K10" s="2">
        <v>15000</v>
      </c>
      <c r="L10" s="2">
        <v>900</v>
      </c>
      <c r="M10" s="2">
        <v>9750</v>
      </c>
      <c r="N10" s="2">
        <v>6750</v>
      </c>
      <c r="O10" s="5">
        <v>2100</v>
      </c>
      <c r="P10" s="5">
        <v>3500</v>
      </c>
      <c r="Q10" s="5">
        <v>0</v>
      </c>
      <c r="R10" s="5">
        <v>0</v>
      </c>
      <c r="S10" s="5">
        <v>0</v>
      </c>
      <c r="T10" s="5">
        <v>22</v>
      </c>
      <c r="U10" s="5">
        <v>6</v>
      </c>
      <c r="V10" s="5">
        <v>0</v>
      </c>
      <c r="W10" s="5">
        <v>0</v>
      </c>
      <c r="X10" s="5">
        <v>2</v>
      </c>
      <c r="Y10" s="5">
        <v>0</v>
      </c>
      <c r="Z10" s="5">
        <v>30</v>
      </c>
      <c r="AA10" s="5">
        <v>0</v>
      </c>
      <c r="AB10" s="5">
        <v>15000</v>
      </c>
      <c r="AC10" s="5">
        <v>900</v>
      </c>
      <c r="AD10" s="5">
        <v>9750</v>
      </c>
      <c r="AE10" s="5">
        <v>6750</v>
      </c>
      <c r="AF10" s="5">
        <v>2100</v>
      </c>
      <c r="AG10" s="5">
        <v>3500</v>
      </c>
      <c r="AH10" s="5">
        <v>0</v>
      </c>
      <c r="AI10" s="5">
        <v>0</v>
      </c>
      <c r="AJ10" s="5">
        <v>0</v>
      </c>
      <c r="AK10" s="5">
        <v>4660</v>
      </c>
      <c r="AL10" s="5">
        <f t="shared" si="2"/>
        <v>42660</v>
      </c>
      <c r="AM10" s="5">
        <v>1800</v>
      </c>
      <c r="AN10" s="5">
        <v>200</v>
      </c>
      <c r="AO10" s="5">
        <v>0</v>
      </c>
      <c r="AP10" s="5">
        <v>6000</v>
      </c>
      <c r="AQ10" s="5">
        <v>1</v>
      </c>
      <c r="AR10" s="5">
        <v>0</v>
      </c>
      <c r="AS10" s="5">
        <f t="shared" si="0"/>
        <v>8001</v>
      </c>
      <c r="AT10" s="29">
        <f t="shared" si="1"/>
        <v>34659</v>
      </c>
      <c r="AU10" s="10" t="s">
        <v>53</v>
      </c>
      <c r="AV10" s="7" t="s">
        <v>61</v>
      </c>
    </row>
    <row r="11" spans="1:48" ht="24" customHeight="1" x14ac:dyDescent="0.25">
      <c r="A11" s="37">
        <v>4</v>
      </c>
      <c r="B11" s="3" t="s">
        <v>62</v>
      </c>
      <c r="C11" s="2" t="s">
        <v>63</v>
      </c>
      <c r="D11" s="23" t="s">
        <v>64</v>
      </c>
      <c r="E11" s="2" t="s">
        <v>50</v>
      </c>
      <c r="F11" s="2" t="s">
        <v>51</v>
      </c>
      <c r="G11" s="2" t="s">
        <v>52</v>
      </c>
      <c r="H11" s="4">
        <v>39724</v>
      </c>
      <c r="I11" s="2" t="s">
        <v>53</v>
      </c>
      <c r="J11" s="2" t="s">
        <v>53</v>
      </c>
      <c r="K11" s="2">
        <v>41160</v>
      </c>
      <c r="L11" s="2">
        <v>933</v>
      </c>
      <c r="M11" s="2">
        <v>27602</v>
      </c>
      <c r="N11" s="2">
        <v>19109</v>
      </c>
      <c r="O11" s="5">
        <v>2176</v>
      </c>
      <c r="P11" s="5">
        <v>29020</v>
      </c>
      <c r="Q11" s="5">
        <v>0</v>
      </c>
      <c r="R11" s="5">
        <v>0</v>
      </c>
      <c r="S11" s="5">
        <v>5600</v>
      </c>
      <c r="T11" s="5">
        <v>23</v>
      </c>
      <c r="U11" s="5">
        <v>6</v>
      </c>
      <c r="V11" s="5">
        <v>0</v>
      </c>
      <c r="W11" s="5">
        <v>0</v>
      </c>
      <c r="X11" s="5">
        <v>1</v>
      </c>
      <c r="Y11" s="5">
        <v>0</v>
      </c>
      <c r="Z11" s="5">
        <v>30</v>
      </c>
      <c r="AA11" s="5">
        <v>0</v>
      </c>
      <c r="AB11" s="5">
        <v>41160</v>
      </c>
      <c r="AC11" s="5">
        <v>933</v>
      </c>
      <c r="AD11" s="5">
        <v>27602</v>
      </c>
      <c r="AE11" s="5">
        <v>19109</v>
      </c>
      <c r="AF11" s="5">
        <v>2176</v>
      </c>
      <c r="AG11" s="5">
        <v>29020</v>
      </c>
      <c r="AH11" s="5">
        <v>0</v>
      </c>
      <c r="AI11" s="5">
        <v>0</v>
      </c>
      <c r="AJ11" s="5">
        <v>5600</v>
      </c>
      <c r="AK11" s="5">
        <v>23000</v>
      </c>
      <c r="AL11" s="5">
        <f t="shared" si="2"/>
        <v>148600</v>
      </c>
      <c r="AM11" s="5">
        <v>4939</v>
      </c>
      <c r="AN11" s="5">
        <v>200</v>
      </c>
      <c r="AO11" s="5">
        <v>0</v>
      </c>
      <c r="AP11" s="5">
        <v>0</v>
      </c>
      <c r="AQ11" s="5">
        <v>5000</v>
      </c>
      <c r="AR11" s="5">
        <v>0</v>
      </c>
      <c r="AS11" s="5">
        <f t="shared" si="0"/>
        <v>10139</v>
      </c>
      <c r="AT11" s="29">
        <f t="shared" si="1"/>
        <v>138461</v>
      </c>
      <c r="AU11" s="10" t="s">
        <v>53</v>
      </c>
      <c r="AV11" s="7" t="s">
        <v>65</v>
      </c>
    </row>
    <row r="12" spans="1:48" ht="24" customHeight="1" x14ac:dyDescent="0.25">
      <c r="A12" s="37">
        <v>5</v>
      </c>
      <c r="B12" s="3" t="s">
        <v>66</v>
      </c>
      <c r="C12" s="2" t="s">
        <v>67</v>
      </c>
      <c r="D12" s="23" t="s">
        <v>57</v>
      </c>
      <c r="E12" s="2" t="s">
        <v>50</v>
      </c>
      <c r="F12" s="2" t="s">
        <v>51</v>
      </c>
      <c r="G12" s="2" t="s">
        <v>52</v>
      </c>
      <c r="H12" s="4">
        <v>40544</v>
      </c>
      <c r="I12" s="2" t="s">
        <v>53</v>
      </c>
      <c r="J12" s="2" t="s">
        <v>53</v>
      </c>
      <c r="K12" s="2">
        <v>13960</v>
      </c>
      <c r="L12" s="2">
        <v>838</v>
      </c>
      <c r="M12" s="2">
        <v>9074</v>
      </c>
      <c r="N12" s="2">
        <v>6282</v>
      </c>
      <c r="O12" s="5">
        <v>1955</v>
      </c>
      <c r="P12" s="5">
        <v>4891</v>
      </c>
      <c r="Q12" s="5">
        <v>0</v>
      </c>
      <c r="R12" s="5">
        <v>0</v>
      </c>
      <c r="S12" s="5">
        <v>0</v>
      </c>
      <c r="T12" s="5">
        <v>20</v>
      </c>
      <c r="U12" s="5">
        <v>6</v>
      </c>
      <c r="V12" s="5">
        <v>0</v>
      </c>
      <c r="W12" s="5">
        <v>0</v>
      </c>
      <c r="X12" s="5">
        <v>4</v>
      </c>
      <c r="Y12" s="5">
        <v>0</v>
      </c>
      <c r="Z12" s="5">
        <v>30</v>
      </c>
      <c r="AA12" s="5">
        <v>0</v>
      </c>
      <c r="AB12" s="5">
        <v>13960</v>
      </c>
      <c r="AC12" s="5">
        <v>838</v>
      </c>
      <c r="AD12" s="5">
        <v>9074</v>
      </c>
      <c r="AE12" s="5">
        <v>6282</v>
      </c>
      <c r="AF12" s="5">
        <v>1955</v>
      </c>
      <c r="AG12" s="5">
        <v>4891</v>
      </c>
      <c r="AH12" s="5">
        <v>0</v>
      </c>
      <c r="AI12" s="5">
        <v>0</v>
      </c>
      <c r="AJ12" s="5">
        <v>0</v>
      </c>
      <c r="AK12" s="5">
        <v>4200</v>
      </c>
      <c r="AL12" s="5">
        <f t="shared" si="2"/>
        <v>41200</v>
      </c>
      <c r="AM12" s="5">
        <v>1675</v>
      </c>
      <c r="AN12" s="5">
        <v>200</v>
      </c>
      <c r="AO12" s="5">
        <v>0</v>
      </c>
      <c r="AP12" s="5">
        <v>0</v>
      </c>
      <c r="AQ12" s="5">
        <v>1</v>
      </c>
      <c r="AR12" s="5">
        <v>0</v>
      </c>
      <c r="AS12" s="5">
        <f t="shared" si="0"/>
        <v>1876</v>
      </c>
      <c r="AT12" s="29">
        <f t="shared" si="1"/>
        <v>39324</v>
      </c>
      <c r="AU12" s="10" t="s">
        <v>53</v>
      </c>
      <c r="AV12" s="7" t="s">
        <v>68</v>
      </c>
    </row>
    <row r="13" spans="1:48" ht="24" customHeight="1" x14ac:dyDescent="0.25">
      <c r="A13" s="37">
        <v>6</v>
      </c>
      <c r="B13" s="3" t="s">
        <v>69</v>
      </c>
      <c r="C13" s="2" t="s">
        <v>70</v>
      </c>
      <c r="D13" s="23" t="s">
        <v>57</v>
      </c>
      <c r="E13" s="2" t="s">
        <v>50</v>
      </c>
      <c r="F13" s="2" t="s">
        <v>51</v>
      </c>
      <c r="G13" s="2" t="s">
        <v>52</v>
      </c>
      <c r="H13" s="2" t="s">
        <v>71</v>
      </c>
      <c r="I13" s="2" t="s">
        <v>53</v>
      </c>
      <c r="J13" s="2" t="s">
        <v>53</v>
      </c>
      <c r="K13" s="2">
        <v>24700</v>
      </c>
      <c r="L13" s="2">
        <v>1482</v>
      </c>
      <c r="M13" s="2">
        <v>16055</v>
      </c>
      <c r="N13" s="2">
        <v>11115</v>
      </c>
      <c r="O13" s="5">
        <v>3458</v>
      </c>
      <c r="P13" s="5">
        <v>8190</v>
      </c>
      <c r="Q13" s="5">
        <v>0</v>
      </c>
      <c r="R13" s="5">
        <v>0</v>
      </c>
      <c r="S13" s="5">
        <v>0</v>
      </c>
      <c r="T13" s="5">
        <v>22</v>
      </c>
      <c r="U13" s="5">
        <v>6</v>
      </c>
      <c r="V13" s="5">
        <v>0</v>
      </c>
      <c r="W13" s="5">
        <v>0</v>
      </c>
      <c r="X13" s="5">
        <v>2</v>
      </c>
      <c r="Y13" s="5">
        <v>0</v>
      </c>
      <c r="Z13" s="5">
        <v>30</v>
      </c>
      <c r="AA13" s="5">
        <v>0</v>
      </c>
      <c r="AB13" s="5">
        <v>24700</v>
      </c>
      <c r="AC13" s="5">
        <v>1482</v>
      </c>
      <c r="AD13" s="5">
        <v>16055</v>
      </c>
      <c r="AE13" s="5">
        <v>11115</v>
      </c>
      <c r="AF13" s="5">
        <v>3458</v>
      </c>
      <c r="AG13" s="5">
        <v>8190</v>
      </c>
      <c r="AH13" s="5">
        <v>0</v>
      </c>
      <c r="AI13" s="5">
        <v>0</v>
      </c>
      <c r="AJ13" s="5">
        <v>0</v>
      </c>
      <c r="AK13" s="5">
        <v>6500</v>
      </c>
      <c r="AL13" s="5">
        <f t="shared" si="2"/>
        <v>71500</v>
      </c>
      <c r="AM13" s="5">
        <v>2964</v>
      </c>
      <c r="AN13" s="5">
        <v>200</v>
      </c>
      <c r="AO13" s="5">
        <v>0</v>
      </c>
      <c r="AP13" s="5">
        <v>0</v>
      </c>
      <c r="AQ13" s="5">
        <v>1</v>
      </c>
      <c r="AR13" s="5">
        <v>0</v>
      </c>
      <c r="AS13" s="5">
        <f t="shared" si="0"/>
        <v>3165</v>
      </c>
      <c r="AT13" s="29">
        <f t="shared" si="1"/>
        <v>68335</v>
      </c>
      <c r="AU13" s="10" t="s">
        <v>53</v>
      </c>
      <c r="AV13" s="7" t="s">
        <v>72</v>
      </c>
    </row>
    <row r="14" spans="1:48" ht="24" customHeight="1" x14ac:dyDescent="0.25">
      <c r="A14" s="37">
        <v>7</v>
      </c>
      <c r="B14" s="3" t="s">
        <v>73</v>
      </c>
      <c r="C14" s="2" t="s">
        <v>74</v>
      </c>
      <c r="D14" s="23" t="s">
        <v>75</v>
      </c>
      <c r="E14" s="2" t="s">
        <v>50</v>
      </c>
      <c r="F14" s="2" t="s">
        <v>51</v>
      </c>
      <c r="G14" s="2" t="s">
        <v>52</v>
      </c>
      <c r="H14" s="2" t="s">
        <v>76</v>
      </c>
      <c r="I14" s="2" t="s">
        <v>53</v>
      </c>
      <c r="J14" s="2" t="s">
        <v>53</v>
      </c>
      <c r="K14" s="2">
        <v>42464</v>
      </c>
      <c r="L14" s="2">
        <v>933</v>
      </c>
      <c r="M14" s="2">
        <v>27602</v>
      </c>
      <c r="N14" s="2">
        <v>19109</v>
      </c>
      <c r="O14" s="5">
        <v>2176</v>
      </c>
      <c r="P14" s="5">
        <v>22368</v>
      </c>
      <c r="Q14" s="5">
        <v>0</v>
      </c>
      <c r="R14" s="5">
        <v>0</v>
      </c>
      <c r="S14" s="5">
        <v>0</v>
      </c>
      <c r="T14" s="5">
        <v>20</v>
      </c>
      <c r="U14" s="5">
        <v>6</v>
      </c>
      <c r="V14" s="5">
        <v>0</v>
      </c>
      <c r="W14" s="5">
        <v>0</v>
      </c>
      <c r="X14" s="5">
        <v>4</v>
      </c>
      <c r="Y14" s="5">
        <v>0</v>
      </c>
      <c r="Z14" s="5">
        <v>30</v>
      </c>
      <c r="AA14" s="5">
        <v>0</v>
      </c>
      <c r="AB14" s="5">
        <v>42464</v>
      </c>
      <c r="AC14" s="5">
        <v>933</v>
      </c>
      <c r="AD14" s="5">
        <v>27602</v>
      </c>
      <c r="AE14" s="5">
        <v>19109</v>
      </c>
      <c r="AF14" s="5">
        <v>2176</v>
      </c>
      <c r="AG14" s="5">
        <v>22368</v>
      </c>
      <c r="AH14" s="5">
        <v>0</v>
      </c>
      <c r="AI14" s="5">
        <v>0</v>
      </c>
      <c r="AJ14" s="5">
        <v>0</v>
      </c>
      <c r="AK14" s="5">
        <v>16986</v>
      </c>
      <c r="AL14" s="5">
        <f t="shared" si="2"/>
        <v>131638</v>
      </c>
      <c r="AM14" s="5">
        <v>5096</v>
      </c>
      <c r="AN14" s="5">
        <v>200</v>
      </c>
      <c r="AO14" s="5">
        <v>0</v>
      </c>
      <c r="AP14" s="5">
        <v>0</v>
      </c>
      <c r="AQ14" s="5">
        <v>1</v>
      </c>
      <c r="AR14" s="5">
        <v>0</v>
      </c>
      <c r="AS14" s="5">
        <f t="shared" si="0"/>
        <v>5297</v>
      </c>
      <c r="AT14" s="29">
        <f t="shared" si="1"/>
        <v>126341</v>
      </c>
      <c r="AU14" s="10" t="s">
        <v>53</v>
      </c>
      <c r="AV14" s="7" t="s">
        <v>77</v>
      </c>
    </row>
    <row r="15" spans="1:48" ht="24" customHeight="1" x14ac:dyDescent="0.25">
      <c r="A15" s="37">
        <v>8</v>
      </c>
      <c r="B15" s="3" t="s">
        <v>78</v>
      </c>
      <c r="C15" s="2" t="s">
        <v>79</v>
      </c>
      <c r="D15" s="23" t="s">
        <v>80</v>
      </c>
      <c r="E15" s="2" t="s">
        <v>50</v>
      </c>
      <c r="F15" s="2" t="s">
        <v>51</v>
      </c>
      <c r="G15" s="2" t="s">
        <v>52</v>
      </c>
      <c r="H15" s="4">
        <v>42591</v>
      </c>
      <c r="I15" s="2" t="s">
        <v>53</v>
      </c>
      <c r="J15" s="2" t="s">
        <v>53</v>
      </c>
      <c r="K15" s="2">
        <v>49200</v>
      </c>
      <c r="L15" s="2">
        <v>2952</v>
      </c>
      <c r="M15" s="2">
        <v>31980</v>
      </c>
      <c r="N15" s="2">
        <v>22140</v>
      </c>
      <c r="O15" s="5">
        <v>6888</v>
      </c>
      <c r="P15" s="5">
        <v>26840</v>
      </c>
      <c r="Q15" s="5">
        <v>0</v>
      </c>
      <c r="R15" s="5">
        <v>0</v>
      </c>
      <c r="S15" s="5">
        <v>0</v>
      </c>
      <c r="T15" s="5">
        <v>22</v>
      </c>
      <c r="U15" s="5">
        <v>6</v>
      </c>
      <c r="V15" s="5">
        <v>0</v>
      </c>
      <c r="W15" s="5">
        <v>0</v>
      </c>
      <c r="X15" s="5">
        <v>2</v>
      </c>
      <c r="Y15" s="5">
        <v>0</v>
      </c>
      <c r="Z15" s="5">
        <v>30</v>
      </c>
      <c r="AA15" s="5">
        <v>0</v>
      </c>
      <c r="AB15" s="5">
        <v>49200</v>
      </c>
      <c r="AC15" s="5">
        <v>2952</v>
      </c>
      <c r="AD15" s="5">
        <v>31980</v>
      </c>
      <c r="AE15" s="5">
        <v>22140</v>
      </c>
      <c r="AF15" s="5">
        <v>6888</v>
      </c>
      <c r="AG15" s="5">
        <v>26840</v>
      </c>
      <c r="AH15" s="5">
        <v>0</v>
      </c>
      <c r="AI15" s="5">
        <v>0</v>
      </c>
      <c r="AJ15" s="5">
        <v>0</v>
      </c>
      <c r="AK15" s="5">
        <v>34000</v>
      </c>
      <c r="AL15" s="5">
        <f t="shared" si="2"/>
        <v>174000</v>
      </c>
      <c r="AM15" s="5">
        <v>5904</v>
      </c>
      <c r="AN15" s="5">
        <v>200</v>
      </c>
      <c r="AO15" s="5">
        <v>0</v>
      </c>
      <c r="AP15" s="5">
        <v>0</v>
      </c>
      <c r="AQ15" s="5">
        <v>8000</v>
      </c>
      <c r="AR15" s="5">
        <v>0</v>
      </c>
      <c r="AS15" s="5">
        <f t="shared" si="0"/>
        <v>14104</v>
      </c>
      <c r="AT15" s="29">
        <f t="shared" si="1"/>
        <v>159896</v>
      </c>
      <c r="AU15" s="10" t="s">
        <v>53</v>
      </c>
      <c r="AV15" s="7" t="s">
        <v>81</v>
      </c>
    </row>
    <row r="16" spans="1:48" ht="24" customHeight="1" x14ac:dyDescent="0.25">
      <c r="A16" s="37">
        <v>9</v>
      </c>
      <c r="B16" s="3" t="s">
        <v>82</v>
      </c>
      <c r="C16" s="2" t="s">
        <v>83</v>
      </c>
      <c r="D16" s="23" t="s">
        <v>84</v>
      </c>
      <c r="E16" s="2" t="s">
        <v>50</v>
      </c>
      <c r="F16" s="2" t="s">
        <v>51</v>
      </c>
      <c r="G16" s="2" t="s">
        <v>52</v>
      </c>
      <c r="H16" s="4">
        <v>42379</v>
      </c>
      <c r="I16" s="2" t="s">
        <v>53</v>
      </c>
      <c r="J16" s="2" t="s">
        <v>53</v>
      </c>
      <c r="K16" s="2">
        <v>70000</v>
      </c>
      <c r="L16" s="2">
        <v>4200</v>
      </c>
      <c r="M16" s="2">
        <v>45500</v>
      </c>
      <c r="N16" s="2">
        <v>31500</v>
      </c>
      <c r="O16" s="5">
        <v>9800</v>
      </c>
      <c r="P16" s="5">
        <v>19000</v>
      </c>
      <c r="Q16" s="5">
        <v>0</v>
      </c>
      <c r="R16" s="5">
        <v>0</v>
      </c>
      <c r="S16" s="5">
        <v>0</v>
      </c>
      <c r="T16" s="5">
        <v>23</v>
      </c>
      <c r="U16" s="5">
        <v>6</v>
      </c>
      <c r="V16" s="5">
        <v>0</v>
      </c>
      <c r="W16" s="5">
        <v>0</v>
      </c>
      <c r="X16" s="5">
        <v>1</v>
      </c>
      <c r="Y16" s="5">
        <v>0</v>
      </c>
      <c r="Z16" s="5">
        <v>30</v>
      </c>
      <c r="AA16" s="5">
        <v>0</v>
      </c>
      <c r="AB16" s="5">
        <v>70000</v>
      </c>
      <c r="AC16" s="5">
        <v>4200</v>
      </c>
      <c r="AD16" s="5">
        <v>45500</v>
      </c>
      <c r="AE16" s="5">
        <v>31500</v>
      </c>
      <c r="AF16" s="5">
        <v>9800</v>
      </c>
      <c r="AG16" s="5">
        <v>19000</v>
      </c>
      <c r="AH16" s="5">
        <v>0</v>
      </c>
      <c r="AI16" s="5">
        <v>0</v>
      </c>
      <c r="AJ16" s="5">
        <v>0</v>
      </c>
      <c r="AK16" s="5">
        <v>36480</v>
      </c>
      <c r="AL16" s="5">
        <f t="shared" si="2"/>
        <v>216480</v>
      </c>
      <c r="AM16" s="5">
        <v>8400</v>
      </c>
      <c r="AN16" s="5">
        <v>200</v>
      </c>
      <c r="AO16" s="5">
        <v>0</v>
      </c>
      <c r="AP16" s="5">
        <v>0</v>
      </c>
      <c r="AQ16" s="5">
        <v>15000</v>
      </c>
      <c r="AR16" s="5">
        <v>0</v>
      </c>
      <c r="AS16" s="5">
        <f t="shared" si="0"/>
        <v>23600</v>
      </c>
      <c r="AT16" s="29">
        <f t="shared" si="1"/>
        <v>192880</v>
      </c>
      <c r="AU16" s="10" t="s">
        <v>53</v>
      </c>
      <c r="AV16" s="7" t="s">
        <v>85</v>
      </c>
    </row>
    <row r="17" spans="1:48" ht="24" customHeight="1" x14ac:dyDescent="0.25">
      <c r="A17" s="37">
        <v>10</v>
      </c>
      <c r="B17" s="3" t="s">
        <v>86</v>
      </c>
      <c r="C17" s="2" t="s">
        <v>87</v>
      </c>
      <c r="D17" s="23" t="s">
        <v>57</v>
      </c>
      <c r="E17" s="2" t="s">
        <v>50</v>
      </c>
      <c r="F17" s="2" t="s">
        <v>51</v>
      </c>
      <c r="G17" s="2" t="s">
        <v>88</v>
      </c>
      <c r="H17" s="4">
        <v>43101</v>
      </c>
      <c r="I17" s="2" t="s">
        <v>53</v>
      </c>
      <c r="J17" s="2" t="s">
        <v>53</v>
      </c>
      <c r="K17" s="2">
        <v>15000</v>
      </c>
      <c r="L17" s="2">
        <v>900</v>
      </c>
      <c r="M17" s="2">
        <v>9750</v>
      </c>
      <c r="N17" s="2">
        <v>6750</v>
      </c>
      <c r="O17" s="5">
        <v>2100</v>
      </c>
      <c r="P17" s="5">
        <v>500</v>
      </c>
      <c r="Q17" s="5">
        <v>0</v>
      </c>
      <c r="R17" s="5">
        <v>0</v>
      </c>
      <c r="S17" s="5">
        <v>0</v>
      </c>
      <c r="T17" s="5">
        <v>22.5</v>
      </c>
      <c r="U17" s="5">
        <v>6</v>
      </c>
      <c r="V17" s="5">
        <v>0</v>
      </c>
      <c r="W17" s="5">
        <v>0</v>
      </c>
      <c r="X17" s="5">
        <v>1.5</v>
      </c>
      <c r="Y17" s="5">
        <v>0</v>
      </c>
      <c r="Z17" s="5">
        <v>30</v>
      </c>
      <c r="AA17" s="5">
        <v>0</v>
      </c>
      <c r="AB17" s="5">
        <v>15000</v>
      </c>
      <c r="AC17" s="5">
        <v>900</v>
      </c>
      <c r="AD17" s="5">
        <v>9750</v>
      </c>
      <c r="AE17" s="5">
        <v>6750</v>
      </c>
      <c r="AF17" s="5">
        <v>2100</v>
      </c>
      <c r="AG17" s="5">
        <v>500</v>
      </c>
      <c r="AH17" s="5">
        <v>0</v>
      </c>
      <c r="AI17" s="5">
        <v>0</v>
      </c>
      <c r="AJ17" s="5">
        <v>0</v>
      </c>
      <c r="AK17" s="5">
        <v>7800</v>
      </c>
      <c r="AL17" s="5">
        <f t="shared" si="2"/>
        <v>42800</v>
      </c>
      <c r="AM17" s="5">
        <v>1800</v>
      </c>
      <c r="AN17" s="5">
        <v>200</v>
      </c>
      <c r="AO17" s="5">
        <v>0</v>
      </c>
      <c r="AP17" s="5">
        <v>0</v>
      </c>
      <c r="AQ17" s="5">
        <v>1</v>
      </c>
      <c r="AR17" s="5">
        <v>0</v>
      </c>
      <c r="AS17" s="5">
        <f t="shared" si="0"/>
        <v>2001</v>
      </c>
      <c r="AT17" s="29">
        <f t="shared" si="1"/>
        <v>40799</v>
      </c>
      <c r="AU17" s="10" t="s">
        <v>53</v>
      </c>
      <c r="AV17" s="7" t="s">
        <v>89</v>
      </c>
    </row>
    <row r="18" spans="1:48" ht="24" customHeight="1" x14ac:dyDescent="0.25">
      <c r="A18" s="37">
        <v>11</v>
      </c>
      <c r="B18" s="3" t="s">
        <v>90</v>
      </c>
      <c r="C18" s="2" t="s">
        <v>91</v>
      </c>
      <c r="D18" s="23" t="s">
        <v>49</v>
      </c>
      <c r="E18" s="2" t="s">
        <v>50</v>
      </c>
      <c r="F18" s="2" t="s">
        <v>51</v>
      </c>
      <c r="G18" s="2" t="s">
        <v>52</v>
      </c>
      <c r="H18" s="4">
        <v>44208</v>
      </c>
      <c r="I18" s="2" t="s">
        <v>53</v>
      </c>
      <c r="J18" s="2" t="s">
        <v>53</v>
      </c>
      <c r="K18" s="2">
        <v>42000</v>
      </c>
      <c r="L18" s="2">
        <v>6300</v>
      </c>
      <c r="M18" s="2">
        <v>16800</v>
      </c>
      <c r="N18" s="2">
        <v>4200</v>
      </c>
      <c r="O18" s="5">
        <v>4200</v>
      </c>
      <c r="P18" s="5">
        <v>31500</v>
      </c>
      <c r="Q18" s="5">
        <v>0</v>
      </c>
      <c r="R18" s="5">
        <v>0</v>
      </c>
      <c r="S18" s="5">
        <v>0</v>
      </c>
      <c r="T18" s="5">
        <v>21.5</v>
      </c>
      <c r="U18" s="5">
        <v>6</v>
      </c>
      <c r="V18" s="5">
        <v>0</v>
      </c>
      <c r="W18" s="5">
        <v>0</v>
      </c>
      <c r="X18" s="5">
        <v>2.5</v>
      </c>
      <c r="Y18" s="5">
        <v>0</v>
      </c>
      <c r="Z18" s="5">
        <v>30</v>
      </c>
      <c r="AA18" s="5">
        <v>0</v>
      </c>
      <c r="AB18" s="5">
        <v>42000</v>
      </c>
      <c r="AC18" s="5">
        <v>6300</v>
      </c>
      <c r="AD18" s="5">
        <v>16800</v>
      </c>
      <c r="AE18" s="5">
        <v>4200</v>
      </c>
      <c r="AF18" s="5">
        <v>4200</v>
      </c>
      <c r="AG18" s="5">
        <v>31500</v>
      </c>
      <c r="AH18" s="5">
        <v>0</v>
      </c>
      <c r="AI18" s="5">
        <v>0</v>
      </c>
      <c r="AJ18" s="5">
        <v>0</v>
      </c>
      <c r="AK18" s="5">
        <v>0</v>
      </c>
      <c r="AL18" s="5">
        <f t="shared" si="2"/>
        <v>105000</v>
      </c>
      <c r="AM18" s="5">
        <v>5040</v>
      </c>
      <c r="AN18" s="5">
        <v>200</v>
      </c>
      <c r="AO18" s="5">
        <v>0</v>
      </c>
      <c r="AP18" s="5">
        <v>0</v>
      </c>
      <c r="AQ18" s="5">
        <v>1</v>
      </c>
      <c r="AR18" s="5">
        <v>0</v>
      </c>
      <c r="AS18" s="5">
        <f t="shared" si="0"/>
        <v>5241</v>
      </c>
      <c r="AT18" s="29">
        <f t="shared" si="1"/>
        <v>99759</v>
      </c>
      <c r="AU18" s="10" t="s">
        <v>53</v>
      </c>
      <c r="AV18" s="7" t="s">
        <v>92</v>
      </c>
    </row>
    <row r="19" spans="1:48" ht="24" customHeight="1" x14ac:dyDescent="0.25">
      <c r="A19" s="37">
        <v>12</v>
      </c>
      <c r="B19" s="3" t="s">
        <v>93</v>
      </c>
      <c r="C19" s="2" t="s">
        <v>94</v>
      </c>
      <c r="D19" s="23" t="s">
        <v>49</v>
      </c>
      <c r="E19" s="2" t="s">
        <v>50</v>
      </c>
      <c r="F19" s="2" t="s">
        <v>51</v>
      </c>
      <c r="G19" s="2" t="s">
        <v>52</v>
      </c>
      <c r="H19" s="4">
        <v>44569</v>
      </c>
      <c r="I19" s="2" t="s">
        <v>53</v>
      </c>
      <c r="J19" s="2" t="s">
        <v>53</v>
      </c>
      <c r="K19" s="2">
        <v>28000</v>
      </c>
      <c r="L19" s="2">
        <v>1680</v>
      </c>
      <c r="M19" s="2">
        <v>18200</v>
      </c>
      <c r="N19" s="2">
        <v>12600</v>
      </c>
      <c r="O19" s="5">
        <v>3920</v>
      </c>
      <c r="P19" s="5">
        <v>12600</v>
      </c>
      <c r="Q19" s="5">
        <v>0</v>
      </c>
      <c r="R19" s="5">
        <v>0</v>
      </c>
      <c r="S19" s="5">
        <v>0</v>
      </c>
      <c r="T19" s="5">
        <v>19</v>
      </c>
      <c r="U19" s="5">
        <v>6</v>
      </c>
      <c r="V19" s="5">
        <v>0</v>
      </c>
      <c r="W19" s="5">
        <v>0</v>
      </c>
      <c r="X19" s="5">
        <v>0</v>
      </c>
      <c r="Y19" s="5">
        <v>5</v>
      </c>
      <c r="Z19" s="5">
        <v>30</v>
      </c>
      <c r="AA19" s="5">
        <v>0</v>
      </c>
      <c r="AB19" s="5">
        <v>28000</v>
      </c>
      <c r="AC19" s="5">
        <v>1680</v>
      </c>
      <c r="AD19" s="5">
        <v>18200</v>
      </c>
      <c r="AE19" s="5">
        <v>12600</v>
      </c>
      <c r="AF19" s="5">
        <v>3920</v>
      </c>
      <c r="AG19" s="5">
        <v>12600</v>
      </c>
      <c r="AH19" s="5">
        <v>0</v>
      </c>
      <c r="AI19" s="5">
        <v>0</v>
      </c>
      <c r="AJ19" s="5">
        <v>0</v>
      </c>
      <c r="AK19" s="5">
        <v>14000</v>
      </c>
      <c r="AL19" s="5">
        <f t="shared" si="2"/>
        <v>91000</v>
      </c>
      <c r="AM19" s="5">
        <v>3360</v>
      </c>
      <c r="AN19" s="5">
        <v>200</v>
      </c>
      <c r="AO19" s="5">
        <v>0</v>
      </c>
      <c r="AP19" s="5">
        <v>0</v>
      </c>
      <c r="AQ19" s="5">
        <v>1</v>
      </c>
      <c r="AR19" s="5">
        <v>0</v>
      </c>
      <c r="AS19" s="5">
        <f t="shared" si="0"/>
        <v>3561</v>
      </c>
      <c r="AT19" s="29">
        <f t="shared" si="1"/>
        <v>87439</v>
      </c>
      <c r="AU19" s="10" t="s">
        <v>53</v>
      </c>
      <c r="AV19" s="7" t="s">
        <v>95</v>
      </c>
    </row>
    <row r="20" spans="1:48" ht="24" customHeight="1" x14ac:dyDescent="0.25">
      <c r="A20" s="37">
        <v>13</v>
      </c>
      <c r="B20" s="3" t="s">
        <v>96</v>
      </c>
      <c r="C20" s="2" t="s">
        <v>97</v>
      </c>
      <c r="D20" s="23" t="s">
        <v>49</v>
      </c>
      <c r="E20" s="2" t="s">
        <v>50</v>
      </c>
      <c r="F20" s="2" t="s">
        <v>51</v>
      </c>
      <c r="G20" s="2" t="s">
        <v>52</v>
      </c>
      <c r="H20" s="4">
        <v>44569</v>
      </c>
      <c r="I20" s="2" t="s">
        <v>53</v>
      </c>
      <c r="J20" s="2" t="s">
        <v>53</v>
      </c>
      <c r="K20" s="2">
        <v>34620</v>
      </c>
      <c r="L20" s="2">
        <v>2078</v>
      </c>
      <c r="M20" s="2">
        <v>22503</v>
      </c>
      <c r="N20" s="2">
        <v>15579</v>
      </c>
      <c r="O20" s="5">
        <v>4847</v>
      </c>
      <c r="P20" s="5">
        <v>18373</v>
      </c>
      <c r="Q20" s="5">
        <v>0</v>
      </c>
      <c r="R20" s="5">
        <v>0</v>
      </c>
      <c r="S20" s="5">
        <v>0</v>
      </c>
      <c r="T20" s="5">
        <v>20.5</v>
      </c>
      <c r="U20" s="5">
        <v>6</v>
      </c>
      <c r="V20" s="5">
        <v>0</v>
      </c>
      <c r="W20" s="5">
        <v>0</v>
      </c>
      <c r="X20" s="5">
        <v>3.5</v>
      </c>
      <c r="Y20" s="5">
        <v>0</v>
      </c>
      <c r="Z20" s="5">
        <v>30</v>
      </c>
      <c r="AA20" s="5">
        <v>0</v>
      </c>
      <c r="AB20" s="5">
        <v>34620</v>
      </c>
      <c r="AC20" s="5">
        <v>2078</v>
      </c>
      <c r="AD20" s="5">
        <v>22503</v>
      </c>
      <c r="AE20" s="5">
        <v>15579</v>
      </c>
      <c r="AF20" s="5">
        <v>4847</v>
      </c>
      <c r="AG20" s="5">
        <v>18373</v>
      </c>
      <c r="AH20" s="5">
        <v>0</v>
      </c>
      <c r="AI20" s="5">
        <v>0</v>
      </c>
      <c r="AJ20" s="5">
        <v>0</v>
      </c>
      <c r="AK20" s="5">
        <v>22900</v>
      </c>
      <c r="AL20" s="5">
        <f t="shared" si="2"/>
        <v>120900</v>
      </c>
      <c r="AM20" s="5">
        <v>4154</v>
      </c>
      <c r="AN20" s="5">
        <v>200</v>
      </c>
      <c r="AO20" s="5">
        <v>0</v>
      </c>
      <c r="AP20" s="5">
        <v>0</v>
      </c>
      <c r="AQ20" s="5">
        <v>1</v>
      </c>
      <c r="AR20" s="5">
        <v>0</v>
      </c>
      <c r="AS20" s="5">
        <f t="shared" si="0"/>
        <v>4355</v>
      </c>
      <c r="AT20" s="29">
        <f t="shared" si="1"/>
        <v>116545</v>
      </c>
      <c r="AU20" s="10" t="s">
        <v>53</v>
      </c>
      <c r="AV20" s="7" t="s">
        <v>98</v>
      </c>
    </row>
    <row r="21" spans="1:48" ht="24" customHeight="1" x14ac:dyDescent="0.25">
      <c r="A21" s="37">
        <v>14</v>
      </c>
      <c r="B21" s="3" t="s">
        <v>99</v>
      </c>
      <c r="C21" s="2" t="s">
        <v>100</v>
      </c>
      <c r="D21" s="23" t="s">
        <v>101</v>
      </c>
      <c r="E21" s="2" t="s">
        <v>50</v>
      </c>
      <c r="F21" s="2" t="s">
        <v>51</v>
      </c>
      <c r="G21" s="2" t="s">
        <v>88</v>
      </c>
      <c r="H21" s="4">
        <v>44572</v>
      </c>
      <c r="I21" s="2" t="s">
        <v>53</v>
      </c>
      <c r="J21" s="2" t="s">
        <v>53</v>
      </c>
      <c r="K21" s="2">
        <v>26280</v>
      </c>
      <c r="L21" s="2">
        <v>1577</v>
      </c>
      <c r="M21" s="2">
        <v>17082</v>
      </c>
      <c r="N21" s="2">
        <v>11826</v>
      </c>
      <c r="O21" s="5">
        <v>3680</v>
      </c>
      <c r="P21" s="5">
        <v>9555</v>
      </c>
      <c r="Q21" s="5">
        <v>0</v>
      </c>
      <c r="R21" s="5">
        <v>0</v>
      </c>
      <c r="S21" s="5">
        <v>0</v>
      </c>
      <c r="T21" s="5">
        <v>22</v>
      </c>
      <c r="U21" s="5">
        <v>6</v>
      </c>
      <c r="V21" s="5">
        <v>0</v>
      </c>
      <c r="W21" s="5">
        <v>0</v>
      </c>
      <c r="X21" s="5">
        <v>2</v>
      </c>
      <c r="Y21" s="5">
        <v>0</v>
      </c>
      <c r="Z21" s="5">
        <v>30</v>
      </c>
      <c r="AA21" s="5">
        <v>0</v>
      </c>
      <c r="AB21" s="5">
        <v>26280</v>
      </c>
      <c r="AC21" s="5">
        <v>1577</v>
      </c>
      <c r="AD21" s="5">
        <v>17082</v>
      </c>
      <c r="AE21" s="5">
        <v>11826</v>
      </c>
      <c r="AF21" s="5">
        <v>3680</v>
      </c>
      <c r="AG21" s="5">
        <v>9555</v>
      </c>
      <c r="AH21" s="5">
        <v>0</v>
      </c>
      <c r="AI21" s="5">
        <v>0</v>
      </c>
      <c r="AJ21" s="5">
        <v>0</v>
      </c>
      <c r="AK21" s="5">
        <v>8600</v>
      </c>
      <c r="AL21" s="5">
        <f t="shared" si="2"/>
        <v>78600</v>
      </c>
      <c r="AM21" s="5">
        <v>3154</v>
      </c>
      <c r="AN21" s="5">
        <v>200</v>
      </c>
      <c r="AO21" s="5">
        <v>0</v>
      </c>
      <c r="AP21" s="5">
        <v>0</v>
      </c>
      <c r="AQ21" s="5">
        <v>1</v>
      </c>
      <c r="AR21" s="5">
        <v>0</v>
      </c>
      <c r="AS21" s="5">
        <f t="shared" si="0"/>
        <v>3355</v>
      </c>
      <c r="AT21" s="29">
        <f t="shared" si="1"/>
        <v>75245</v>
      </c>
      <c r="AU21" s="10" t="s">
        <v>53</v>
      </c>
      <c r="AV21" s="7" t="s">
        <v>102</v>
      </c>
    </row>
    <row r="22" spans="1:48" ht="24" customHeight="1" x14ac:dyDescent="0.25">
      <c r="A22" s="37">
        <v>15</v>
      </c>
      <c r="B22" s="3" t="s">
        <v>103</v>
      </c>
      <c r="C22" s="2" t="s">
        <v>104</v>
      </c>
      <c r="D22" s="23" t="s">
        <v>64</v>
      </c>
      <c r="E22" s="2" t="s">
        <v>50</v>
      </c>
      <c r="F22" s="2" t="s">
        <v>51</v>
      </c>
      <c r="G22" s="2" t="s">
        <v>52</v>
      </c>
      <c r="H22" s="2" t="s">
        <v>105</v>
      </c>
      <c r="I22" s="2" t="s">
        <v>53</v>
      </c>
      <c r="J22" s="2" t="s">
        <v>53</v>
      </c>
      <c r="K22" s="2">
        <v>28000</v>
      </c>
      <c r="L22" s="2">
        <v>4200</v>
      </c>
      <c r="M22" s="2">
        <v>11200</v>
      </c>
      <c r="N22" s="2">
        <v>2800</v>
      </c>
      <c r="O22" s="5">
        <v>2800</v>
      </c>
      <c r="P22" s="5">
        <v>21000</v>
      </c>
      <c r="Q22" s="5">
        <v>0</v>
      </c>
      <c r="R22" s="5">
        <v>0</v>
      </c>
      <c r="S22" s="5">
        <v>0</v>
      </c>
      <c r="T22" s="5">
        <v>22</v>
      </c>
      <c r="U22" s="5">
        <v>6</v>
      </c>
      <c r="V22" s="5">
        <v>0</v>
      </c>
      <c r="W22" s="5">
        <v>0</v>
      </c>
      <c r="X22" s="5">
        <v>2</v>
      </c>
      <c r="Y22" s="5">
        <v>0</v>
      </c>
      <c r="Z22" s="5">
        <v>30</v>
      </c>
      <c r="AA22" s="5">
        <v>0</v>
      </c>
      <c r="AB22" s="5">
        <v>28000</v>
      </c>
      <c r="AC22" s="5">
        <v>4200</v>
      </c>
      <c r="AD22" s="5">
        <v>11200</v>
      </c>
      <c r="AE22" s="5">
        <v>2800</v>
      </c>
      <c r="AF22" s="5">
        <v>2800</v>
      </c>
      <c r="AG22" s="5">
        <v>21000</v>
      </c>
      <c r="AH22" s="5">
        <v>0</v>
      </c>
      <c r="AI22" s="5">
        <v>0</v>
      </c>
      <c r="AJ22" s="5">
        <v>0</v>
      </c>
      <c r="AK22" s="5">
        <v>0</v>
      </c>
      <c r="AL22" s="5">
        <f t="shared" si="2"/>
        <v>70000</v>
      </c>
      <c r="AM22" s="5">
        <v>3360</v>
      </c>
      <c r="AN22" s="5">
        <v>200</v>
      </c>
      <c r="AO22" s="5">
        <v>0</v>
      </c>
      <c r="AP22" s="5">
        <v>0</v>
      </c>
      <c r="AQ22" s="5">
        <v>1</v>
      </c>
      <c r="AR22" s="5">
        <v>0</v>
      </c>
      <c r="AS22" s="5">
        <f t="shared" si="0"/>
        <v>3561</v>
      </c>
      <c r="AT22" s="29">
        <f t="shared" si="1"/>
        <v>66439</v>
      </c>
      <c r="AU22" s="10" t="s">
        <v>53</v>
      </c>
      <c r="AV22" s="7" t="s">
        <v>106</v>
      </c>
    </row>
    <row r="23" spans="1:48" ht="24" customHeight="1" x14ac:dyDescent="0.25">
      <c r="A23" s="37">
        <v>16</v>
      </c>
      <c r="B23" s="3" t="s">
        <v>107</v>
      </c>
      <c r="C23" s="2" t="s">
        <v>108</v>
      </c>
      <c r="D23" s="23" t="s">
        <v>84</v>
      </c>
      <c r="E23" s="2" t="s">
        <v>50</v>
      </c>
      <c r="F23" s="2" t="s">
        <v>51</v>
      </c>
      <c r="G23" s="2" t="s">
        <v>52</v>
      </c>
      <c r="H23" s="4">
        <v>45297</v>
      </c>
      <c r="I23" s="2" t="s">
        <v>53</v>
      </c>
      <c r="J23" s="2" t="s">
        <v>53</v>
      </c>
      <c r="K23" s="2">
        <v>24700</v>
      </c>
      <c r="L23" s="2">
        <v>1482</v>
      </c>
      <c r="M23" s="2">
        <v>16055</v>
      </c>
      <c r="N23" s="2">
        <v>11115</v>
      </c>
      <c r="O23" s="5">
        <v>3458</v>
      </c>
      <c r="P23" s="5">
        <v>13190</v>
      </c>
      <c r="Q23" s="5">
        <v>0</v>
      </c>
      <c r="R23" s="5">
        <v>0</v>
      </c>
      <c r="S23" s="5">
        <v>0</v>
      </c>
      <c r="T23" s="5">
        <v>24</v>
      </c>
      <c r="U23" s="5">
        <v>6</v>
      </c>
      <c r="V23" s="5">
        <v>0</v>
      </c>
      <c r="W23" s="5">
        <v>0</v>
      </c>
      <c r="X23" s="5">
        <v>0</v>
      </c>
      <c r="Y23" s="5">
        <v>0</v>
      </c>
      <c r="Z23" s="5">
        <v>30</v>
      </c>
      <c r="AA23" s="5">
        <v>0</v>
      </c>
      <c r="AB23" s="5">
        <v>24700</v>
      </c>
      <c r="AC23" s="5">
        <v>1482</v>
      </c>
      <c r="AD23" s="5">
        <v>16055</v>
      </c>
      <c r="AE23" s="5">
        <v>11115</v>
      </c>
      <c r="AF23" s="5">
        <v>3458</v>
      </c>
      <c r="AG23" s="5">
        <v>13190</v>
      </c>
      <c r="AH23" s="5">
        <v>0</v>
      </c>
      <c r="AI23" s="5">
        <v>0</v>
      </c>
      <c r="AJ23" s="5">
        <v>0</v>
      </c>
      <c r="AK23" s="5">
        <v>25340</v>
      </c>
      <c r="AL23" s="5">
        <f t="shared" si="2"/>
        <v>95340</v>
      </c>
      <c r="AM23" s="5">
        <v>2964</v>
      </c>
      <c r="AN23" s="5">
        <v>200</v>
      </c>
      <c r="AO23" s="5">
        <v>0</v>
      </c>
      <c r="AP23" s="5">
        <v>0</v>
      </c>
      <c r="AQ23" s="5">
        <v>1</v>
      </c>
      <c r="AR23" s="5">
        <v>0</v>
      </c>
      <c r="AS23" s="5">
        <f t="shared" si="0"/>
        <v>3165</v>
      </c>
      <c r="AT23" s="29">
        <f t="shared" si="1"/>
        <v>92175</v>
      </c>
      <c r="AU23" s="10" t="s">
        <v>53</v>
      </c>
      <c r="AV23" s="7" t="s">
        <v>109</v>
      </c>
    </row>
    <row r="24" spans="1:48" ht="24" customHeight="1" x14ac:dyDescent="0.25">
      <c r="A24" s="37">
        <v>17</v>
      </c>
      <c r="B24" s="3" t="s">
        <v>110</v>
      </c>
      <c r="C24" s="2" t="s">
        <v>111</v>
      </c>
      <c r="D24" s="23" t="s">
        <v>84</v>
      </c>
      <c r="E24" s="2" t="s">
        <v>50</v>
      </c>
      <c r="F24" s="2" t="s">
        <v>51</v>
      </c>
      <c r="G24" s="2" t="s">
        <v>52</v>
      </c>
      <c r="H24" s="4">
        <v>45297</v>
      </c>
      <c r="I24" s="2" t="s">
        <v>53</v>
      </c>
      <c r="J24" s="2" t="s">
        <v>53</v>
      </c>
      <c r="K24" s="2">
        <v>34620</v>
      </c>
      <c r="L24" s="2">
        <v>2078</v>
      </c>
      <c r="M24" s="2">
        <v>22503</v>
      </c>
      <c r="N24" s="2">
        <v>15579</v>
      </c>
      <c r="O24" s="5">
        <v>4847</v>
      </c>
      <c r="P24" s="5">
        <v>15373</v>
      </c>
      <c r="Q24" s="5">
        <v>0</v>
      </c>
      <c r="R24" s="5">
        <v>0</v>
      </c>
      <c r="S24" s="5">
        <v>0</v>
      </c>
      <c r="T24" s="5">
        <v>22</v>
      </c>
      <c r="U24" s="5">
        <v>6</v>
      </c>
      <c r="V24" s="5">
        <v>0</v>
      </c>
      <c r="W24" s="5">
        <v>0</v>
      </c>
      <c r="X24" s="5">
        <v>2</v>
      </c>
      <c r="Y24" s="5">
        <v>0</v>
      </c>
      <c r="Z24" s="5">
        <v>30</v>
      </c>
      <c r="AA24" s="5">
        <v>0</v>
      </c>
      <c r="AB24" s="5">
        <v>34620</v>
      </c>
      <c r="AC24" s="5">
        <v>2078</v>
      </c>
      <c r="AD24" s="5">
        <v>22503</v>
      </c>
      <c r="AE24" s="5">
        <v>15579</v>
      </c>
      <c r="AF24" s="5">
        <v>4847</v>
      </c>
      <c r="AG24" s="5">
        <v>15373</v>
      </c>
      <c r="AH24" s="5">
        <v>0</v>
      </c>
      <c r="AI24" s="5">
        <v>0</v>
      </c>
      <c r="AJ24" s="5">
        <v>0</v>
      </c>
      <c r="AK24" s="5">
        <v>64000</v>
      </c>
      <c r="AL24" s="5">
        <f t="shared" si="2"/>
        <v>159000</v>
      </c>
      <c r="AM24" s="5">
        <v>4154</v>
      </c>
      <c r="AN24" s="5">
        <v>200</v>
      </c>
      <c r="AO24" s="5">
        <v>0</v>
      </c>
      <c r="AP24" s="5">
        <v>0</v>
      </c>
      <c r="AQ24" s="5">
        <v>1</v>
      </c>
      <c r="AR24" s="5">
        <v>0</v>
      </c>
      <c r="AS24" s="5">
        <f t="shared" si="0"/>
        <v>4355</v>
      </c>
      <c r="AT24" s="29">
        <f t="shared" si="1"/>
        <v>154645</v>
      </c>
      <c r="AU24" s="10" t="s">
        <v>53</v>
      </c>
      <c r="AV24" s="7" t="s">
        <v>112</v>
      </c>
    </row>
    <row r="25" spans="1:48" ht="24" customHeight="1" x14ac:dyDescent="0.25">
      <c r="A25" s="37">
        <v>18</v>
      </c>
      <c r="B25" s="3" t="s">
        <v>113</v>
      </c>
      <c r="C25" s="2" t="s">
        <v>114</v>
      </c>
      <c r="D25" s="23" t="s">
        <v>84</v>
      </c>
      <c r="E25" s="2" t="s">
        <v>50</v>
      </c>
      <c r="F25" s="2" t="s">
        <v>51</v>
      </c>
      <c r="G25" s="2" t="s">
        <v>52</v>
      </c>
      <c r="H25" s="2" t="s">
        <v>115</v>
      </c>
      <c r="I25" s="2" t="s">
        <v>53</v>
      </c>
      <c r="J25" s="2" t="s">
        <v>53</v>
      </c>
      <c r="K25" s="2">
        <v>15000</v>
      </c>
      <c r="L25" s="2">
        <v>900</v>
      </c>
      <c r="M25" s="2">
        <v>9750</v>
      </c>
      <c r="N25" s="2">
        <v>6750</v>
      </c>
      <c r="O25" s="5">
        <v>2100</v>
      </c>
      <c r="P25" s="5">
        <v>12500</v>
      </c>
      <c r="Q25" s="5">
        <v>0</v>
      </c>
      <c r="R25" s="5">
        <v>0</v>
      </c>
      <c r="S25" s="5">
        <v>0</v>
      </c>
      <c r="T25" s="5">
        <v>23</v>
      </c>
      <c r="U25" s="5">
        <v>6</v>
      </c>
      <c r="V25" s="5">
        <v>0</v>
      </c>
      <c r="W25" s="5">
        <v>0</v>
      </c>
      <c r="X25" s="5">
        <v>1</v>
      </c>
      <c r="Y25" s="5">
        <v>0</v>
      </c>
      <c r="Z25" s="5">
        <v>30</v>
      </c>
      <c r="AA25" s="5">
        <v>0</v>
      </c>
      <c r="AB25" s="5">
        <v>15000</v>
      </c>
      <c r="AC25" s="5">
        <v>900</v>
      </c>
      <c r="AD25" s="5">
        <v>9750</v>
      </c>
      <c r="AE25" s="5">
        <v>6750</v>
      </c>
      <c r="AF25" s="5">
        <v>2100</v>
      </c>
      <c r="AG25" s="5">
        <v>12500</v>
      </c>
      <c r="AH25" s="5">
        <v>0</v>
      </c>
      <c r="AI25" s="5">
        <v>0</v>
      </c>
      <c r="AJ25" s="5">
        <v>0</v>
      </c>
      <c r="AK25" s="5">
        <v>0</v>
      </c>
      <c r="AL25" s="5">
        <f t="shared" si="2"/>
        <v>47000</v>
      </c>
      <c r="AM25" s="5">
        <v>1800</v>
      </c>
      <c r="AN25" s="5">
        <v>200</v>
      </c>
      <c r="AO25" s="5">
        <v>0</v>
      </c>
      <c r="AP25" s="5">
        <v>0</v>
      </c>
      <c r="AQ25" s="5">
        <v>1</v>
      </c>
      <c r="AR25" s="5">
        <v>0</v>
      </c>
      <c r="AS25" s="5">
        <f t="shared" si="0"/>
        <v>2001</v>
      </c>
      <c r="AT25" s="29">
        <f t="shared" si="1"/>
        <v>44999</v>
      </c>
      <c r="AU25" s="10" t="s">
        <v>53</v>
      </c>
      <c r="AV25" s="7" t="s">
        <v>116</v>
      </c>
    </row>
    <row r="26" spans="1:48" ht="24" customHeight="1" x14ac:dyDescent="0.25">
      <c r="A26" s="37">
        <v>19</v>
      </c>
      <c r="B26" s="3" t="s">
        <v>117</v>
      </c>
      <c r="C26" s="2" t="s">
        <v>118</v>
      </c>
      <c r="D26" s="23" t="s">
        <v>80</v>
      </c>
      <c r="E26" s="2" t="s">
        <v>50</v>
      </c>
      <c r="F26" s="2" t="s">
        <v>51</v>
      </c>
      <c r="G26" s="2" t="s">
        <v>88</v>
      </c>
      <c r="H26" s="4">
        <v>45717</v>
      </c>
      <c r="I26" s="2" t="s">
        <v>53</v>
      </c>
      <c r="J26" s="2" t="s">
        <v>53</v>
      </c>
      <c r="K26" s="2">
        <v>16960</v>
      </c>
      <c r="L26" s="2">
        <v>1018</v>
      </c>
      <c r="M26" s="2">
        <v>11024</v>
      </c>
      <c r="N26" s="2">
        <v>7632</v>
      </c>
      <c r="O26" s="5">
        <v>2375</v>
      </c>
      <c r="P26" s="5">
        <v>8991</v>
      </c>
      <c r="Q26" s="5">
        <v>0</v>
      </c>
      <c r="R26" s="5">
        <v>0</v>
      </c>
      <c r="S26" s="5">
        <v>0</v>
      </c>
      <c r="T26" s="5">
        <v>22.5</v>
      </c>
      <c r="U26" s="5">
        <v>6</v>
      </c>
      <c r="V26" s="5">
        <v>0</v>
      </c>
      <c r="W26" s="5">
        <v>0</v>
      </c>
      <c r="X26" s="5">
        <v>1.5</v>
      </c>
      <c r="Y26" s="5">
        <v>0</v>
      </c>
      <c r="Z26" s="5">
        <v>30</v>
      </c>
      <c r="AA26" s="5">
        <v>0</v>
      </c>
      <c r="AB26" s="5">
        <v>16960</v>
      </c>
      <c r="AC26" s="5">
        <v>1018</v>
      </c>
      <c r="AD26" s="5">
        <v>11024</v>
      </c>
      <c r="AE26" s="5">
        <v>7632</v>
      </c>
      <c r="AF26" s="5">
        <v>2375</v>
      </c>
      <c r="AG26" s="5">
        <v>8991</v>
      </c>
      <c r="AH26" s="5">
        <v>0</v>
      </c>
      <c r="AI26" s="5">
        <v>0</v>
      </c>
      <c r="AJ26" s="5">
        <v>0</v>
      </c>
      <c r="AK26" s="5">
        <v>11200</v>
      </c>
      <c r="AL26" s="5">
        <f t="shared" si="2"/>
        <v>59200</v>
      </c>
      <c r="AM26" s="5">
        <v>2035</v>
      </c>
      <c r="AN26" s="5">
        <v>200</v>
      </c>
      <c r="AO26" s="5">
        <v>0</v>
      </c>
      <c r="AP26" s="5">
        <v>0</v>
      </c>
      <c r="AQ26" s="5">
        <v>1</v>
      </c>
      <c r="AR26" s="5">
        <v>0</v>
      </c>
      <c r="AS26" s="5">
        <f t="shared" si="0"/>
        <v>2236</v>
      </c>
      <c r="AT26" s="29">
        <f t="shared" si="1"/>
        <v>56964</v>
      </c>
      <c r="AU26" s="10" t="s">
        <v>53</v>
      </c>
      <c r="AV26" s="7" t="s">
        <v>119</v>
      </c>
    </row>
    <row r="27" spans="1:48" ht="24" customHeight="1" x14ac:dyDescent="0.25">
      <c r="A27" s="37">
        <v>20</v>
      </c>
      <c r="B27" s="3" t="s">
        <v>120</v>
      </c>
      <c r="C27" s="2" t="s">
        <v>121</v>
      </c>
      <c r="D27" s="23" t="s">
        <v>101</v>
      </c>
      <c r="E27" s="2" t="s">
        <v>50</v>
      </c>
      <c r="F27" s="2" t="s">
        <v>51</v>
      </c>
      <c r="G27" s="2" t="s">
        <v>88</v>
      </c>
      <c r="H27" s="4">
        <v>45662</v>
      </c>
      <c r="I27" s="2" t="s">
        <v>53</v>
      </c>
      <c r="J27" s="2" t="s">
        <v>53</v>
      </c>
      <c r="K27" s="2">
        <v>15000</v>
      </c>
      <c r="L27" s="2">
        <v>900</v>
      </c>
      <c r="M27" s="2">
        <v>9750</v>
      </c>
      <c r="N27" s="2">
        <v>6750</v>
      </c>
      <c r="O27" s="5">
        <v>2100</v>
      </c>
      <c r="P27" s="5">
        <v>500</v>
      </c>
      <c r="Q27" s="5">
        <v>0</v>
      </c>
      <c r="R27" s="5">
        <v>0</v>
      </c>
      <c r="S27" s="5">
        <v>0</v>
      </c>
      <c r="T27" s="5">
        <v>21</v>
      </c>
      <c r="U27" s="5">
        <v>6</v>
      </c>
      <c r="V27" s="5">
        <v>0</v>
      </c>
      <c r="W27" s="5">
        <v>0</v>
      </c>
      <c r="X27" s="5">
        <v>3</v>
      </c>
      <c r="Y27" s="5">
        <v>0</v>
      </c>
      <c r="Z27" s="5">
        <v>30</v>
      </c>
      <c r="AA27" s="5">
        <v>0</v>
      </c>
      <c r="AB27" s="5">
        <v>15000</v>
      </c>
      <c r="AC27" s="5">
        <v>900</v>
      </c>
      <c r="AD27" s="5">
        <v>9750</v>
      </c>
      <c r="AE27" s="5">
        <v>6750</v>
      </c>
      <c r="AF27" s="5">
        <v>2100</v>
      </c>
      <c r="AG27" s="5">
        <v>500</v>
      </c>
      <c r="AH27" s="5">
        <v>0</v>
      </c>
      <c r="AI27" s="5">
        <v>0</v>
      </c>
      <c r="AJ27" s="5">
        <v>0</v>
      </c>
      <c r="AK27" s="5">
        <v>10000</v>
      </c>
      <c r="AL27" s="5">
        <f t="shared" si="2"/>
        <v>45000</v>
      </c>
      <c r="AM27" s="5">
        <v>1800</v>
      </c>
      <c r="AN27" s="5">
        <v>200</v>
      </c>
      <c r="AO27" s="5">
        <v>0</v>
      </c>
      <c r="AP27" s="5">
        <v>0</v>
      </c>
      <c r="AQ27" s="5">
        <v>1</v>
      </c>
      <c r="AR27" s="5">
        <v>0</v>
      </c>
      <c r="AS27" s="5">
        <f t="shared" si="0"/>
        <v>2001</v>
      </c>
      <c r="AT27" s="29">
        <f t="shared" si="1"/>
        <v>42999</v>
      </c>
      <c r="AU27" s="10" t="s">
        <v>53</v>
      </c>
      <c r="AV27" s="7" t="s">
        <v>122</v>
      </c>
    </row>
    <row r="28" spans="1:48" ht="24" customHeight="1" x14ac:dyDescent="0.25">
      <c r="A28" s="37">
        <v>21</v>
      </c>
      <c r="B28" s="3" t="s">
        <v>123</v>
      </c>
      <c r="C28" s="2" t="s">
        <v>124</v>
      </c>
      <c r="D28" s="23" t="s">
        <v>80</v>
      </c>
      <c r="E28" s="2" t="s">
        <v>50</v>
      </c>
      <c r="F28" s="2" t="s">
        <v>51</v>
      </c>
      <c r="G28" s="2" t="s">
        <v>52</v>
      </c>
      <c r="H28" s="4">
        <v>46361</v>
      </c>
      <c r="I28" s="2" t="s">
        <v>53</v>
      </c>
      <c r="J28" s="2" t="s">
        <v>53</v>
      </c>
      <c r="K28" s="2">
        <v>16000</v>
      </c>
      <c r="L28" s="2">
        <v>2400</v>
      </c>
      <c r="M28" s="2">
        <v>6400</v>
      </c>
      <c r="N28" s="2">
        <v>1600</v>
      </c>
      <c r="O28" s="5">
        <v>1600</v>
      </c>
      <c r="P28" s="5">
        <v>12000</v>
      </c>
      <c r="Q28" s="5">
        <v>0</v>
      </c>
      <c r="R28" s="5">
        <v>0</v>
      </c>
      <c r="S28" s="5">
        <v>0</v>
      </c>
      <c r="T28" s="5">
        <v>22</v>
      </c>
      <c r="U28" s="5">
        <v>6</v>
      </c>
      <c r="V28" s="5">
        <v>0</v>
      </c>
      <c r="W28" s="5">
        <v>0.75</v>
      </c>
      <c r="X28" s="5">
        <v>1.25</v>
      </c>
      <c r="Y28" s="5">
        <v>0</v>
      </c>
      <c r="Z28" s="5">
        <v>29.25</v>
      </c>
      <c r="AA28" s="5">
        <v>0</v>
      </c>
      <c r="AB28" s="5">
        <v>15600</v>
      </c>
      <c r="AC28" s="5">
        <v>2340</v>
      </c>
      <c r="AD28" s="5">
        <v>6240</v>
      </c>
      <c r="AE28" s="5">
        <v>1560</v>
      </c>
      <c r="AF28" s="5">
        <v>1560</v>
      </c>
      <c r="AG28" s="5">
        <v>11700</v>
      </c>
      <c r="AH28" s="5">
        <v>0</v>
      </c>
      <c r="AI28" s="5">
        <v>0</v>
      </c>
      <c r="AJ28" s="5">
        <v>0</v>
      </c>
      <c r="AK28" s="5">
        <v>0</v>
      </c>
      <c r="AL28" s="5">
        <f t="shared" si="2"/>
        <v>39000</v>
      </c>
      <c r="AM28" s="5">
        <v>1872</v>
      </c>
      <c r="AN28" s="5">
        <v>200</v>
      </c>
      <c r="AO28" s="5">
        <v>0</v>
      </c>
      <c r="AP28" s="5">
        <v>0</v>
      </c>
      <c r="AQ28" s="5">
        <v>1</v>
      </c>
      <c r="AR28" s="5">
        <v>0</v>
      </c>
      <c r="AS28" s="5">
        <f t="shared" si="0"/>
        <v>2073</v>
      </c>
      <c r="AT28" s="29">
        <f t="shared" si="1"/>
        <v>36927</v>
      </c>
      <c r="AU28" s="10" t="s">
        <v>53</v>
      </c>
      <c r="AV28" s="7" t="s">
        <v>125</v>
      </c>
    </row>
    <row r="29" spans="1:48" ht="24" customHeight="1" thickBot="1" x14ac:dyDescent="0.3">
      <c r="A29" s="30"/>
      <c r="B29" s="31"/>
      <c r="C29" s="32" t="s">
        <v>126</v>
      </c>
      <c r="D29" s="33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4">
        <f t="shared" ref="O29:AV29" si="3">SUM(O8:O28)</f>
        <v>75756</v>
      </c>
      <c r="P29" s="34">
        <f t="shared" si="3"/>
        <v>301148</v>
      </c>
      <c r="Q29" s="34">
        <f t="shared" si="3"/>
        <v>0</v>
      </c>
      <c r="R29" s="34">
        <f t="shared" si="3"/>
        <v>0</v>
      </c>
      <c r="S29" s="34">
        <f t="shared" si="3"/>
        <v>5600</v>
      </c>
      <c r="T29" s="34">
        <f t="shared" si="3"/>
        <v>458</v>
      </c>
      <c r="U29" s="34">
        <f t="shared" si="3"/>
        <v>126</v>
      </c>
      <c r="V29" s="34">
        <f t="shared" si="3"/>
        <v>0</v>
      </c>
      <c r="W29" s="34">
        <f t="shared" si="3"/>
        <v>0.75</v>
      </c>
      <c r="X29" s="34">
        <f t="shared" si="3"/>
        <v>40.25</v>
      </c>
      <c r="Y29" s="34">
        <f t="shared" si="3"/>
        <v>5</v>
      </c>
      <c r="Z29" s="34">
        <f t="shared" si="3"/>
        <v>629.25</v>
      </c>
      <c r="AA29" s="34">
        <f t="shared" si="3"/>
        <v>0</v>
      </c>
      <c r="AB29" s="34">
        <f t="shared" si="3"/>
        <v>617804</v>
      </c>
      <c r="AC29" s="34">
        <f t="shared" si="3"/>
        <v>41624</v>
      </c>
      <c r="AD29" s="34">
        <f t="shared" si="3"/>
        <v>381021</v>
      </c>
      <c r="AE29" s="34">
        <f t="shared" si="3"/>
        <v>248639</v>
      </c>
      <c r="AF29" s="34">
        <f t="shared" si="3"/>
        <v>75716</v>
      </c>
      <c r="AG29" s="34">
        <f t="shared" si="3"/>
        <v>300848</v>
      </c>
      <c r="AH29" s="34">
        <f t="shared" si="3"/>
        <v>0</v>
      </c>
      <c r="AI29" s="34">
        <f t="shared" si="3"/>
        <v>0</v>
      </c>
      <c r="AJ29" s="34">
        <f t="shared" si="3"/>
        <v>5600</v>
      </c>
      <c r="AK29" s="34">
        <f t="shared" si="3"/>
        <v>325966</v>
      </c>
      <c r="AL29" s="34">
        <f t="shared" si="3"/>
        <v>1997218</v>
      </c>
      <c r="AM29" s="34">
        <f t="shared" si="3"/>
        <v>74136</v>
      </c>
      <c r="AN29" s="34">
        <f t="shared" si="3"/>
        <v>4200</v>
      </c>
      <c r="AO29" s="34">
        <f t="shared" si="3"/>
        <v>0</v>
      </c>
      <c r="AP29" s="34">
        <f t="shared" si="3"/>
        <v>9000</v>
      </c>
      <c r="AQ29" s="34">
        <f t="shared" si="3"/>
        <v>36017</v>
      </c>
      <c r="AR29" s="34">
        <f t="shared" si="3"/>
        <v>0</v>
      </c>
      <c r="AS29" s="34">
        <f t="shared" si="3"/>
        <v>123353</v>
      </c>
      <c r="AT29" s="35">
        <f t="shared" si="3"/>
        <v>1873865</v>
      </c>
      <c r="AU29" s="11">
        <f t="shared" si="3"/>
        <v>0</v>
      </c>
      <c r="AV29" s="6">
        <f t="shared" si="3"/>
        <v>0</v>
      </c>
    </row>
    <row r="31" spans="1:48" x14ac:dyDescent="0.25">
      <c r="A31" s="2">
        <v>22</v>
      </c>
      <c r="C31" t="s">
        <v>134</v>
      </c>
      <c r="AQ31" s="25">
        <v>1</v>
      </c>
    </row>
    <row r="32" spans="1:48" x14ac:dyDescent="0.25">
      <c r="AQ32" s="26">
        <f>+AQ29+AQ31</f>
        <v>36018</v>
      </c>
    </row>
  </sheetData>
  <pageMargins left="0.7" right="0.7" top="0.98" bottom="0.75" header="0.3" footer="0.3"/>
  <pageSetup paperSize="9" scale="63" orientation="landscape" r:id="rId1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Earn&amp;Dedn</vt:lpstr>
      <vt:lpstr>'Earn&amp;Dedn'!Print_Titles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kirti.kanago</dc:creator>
  <cp:lastModifiedBy>accounts</cp:lastModifiedBy>
  <cp:lastPrinted>2026-07-07T09:55:42Z</cp:lastPrinted>
  <dcterms:created xsi:type="dcterms:W3CDTF">2026-07-07T08:13:21Z</dcterms:created>
  <dcterms:modified xsi:type="dcterms:W3CDTF">2026-07-07T09:55:50Z</dcterms:modified>
</cp:coreProperties>
</file>